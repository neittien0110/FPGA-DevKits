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2.xml" ContentType="application/vnd.openxmlformats-officedocument.drawing+xml"/>
  <Override PartName="/xl/ink/ink13.xml" ContentType="application/inkml+xml"/>
  <Override PartName="/xl/ink/ink1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FPGA\FPGA-DevKits\"/>
    </mc:Choice>
  </mc:AlternateContent>
  <xr:revisionPtr revIDLastSave="0" documentId="13_ncr:1_{0ED6E567-1A9C-43C8-9B9D-3990714B78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PIO" sheetId="1" r:id="rId1"/>
    <sheet name="laptop-board" sheetId="5" r:id="rId2"/>
    <sheet name="Board" sheetId="3" r:id="rId3"/>
    <sheet name="SNN_LIF" sheetId="4" r:id="rId4"/>
    <sheet name="bits - hwh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Z15" i="1"/>
  <c r="AE7" i="1"/>
  <c r="Z7" i="1"/>
</calcChain>
</file>

<file path=xl/sharedStrings.xml><?xml version="1.0" encoding="utf-8"?>
<sst xmlns="http://schemas.openxmlformats.org/spreadsheetml/2006/main" count="32" uniqueCount="30">
  <si>
    <t>GPIO</t>
  </si>
  <si>
    <t>gpio_io_o</t>
  </si>
  <si>
    <t>gpio_io_t</t>
  </si>
  <si>
    <t>thanh ghi GPIO_DATA</t>
  </si>
  <si>
    <t>đệm ra</t>
  </si>
  <si>
    <t>đệm vào</t>
  </si>
  <si>
    <t>gpio_io_i</t>
  </si>
  <si>
    <t>thanh ghi GPIO_TRI</t>
  </si>
  <si>
    <t>Base Address của khối AXI GPIO</t>
  </si>
  <si>
    <t>0x4120 0000</t>
  </si>
  <si>
    <t>=</t>
  </si>
  <si>
    <t>Base Address + 0</t>
  </si>
  <si>
    <t>Base Address + 4</t>
  </si>
  <si>
    <t>thanh ghi GPIO2_DATA ở địa chỉ BaseAddress + 8</t>
  </si>
  <si>
    <t>thanh ghi GPIO2_DATA ở địa chỉ BaseAddress +12</t>
  </si>
  <si>
    <t>Kênh GPIO 1</t>
  </si>
  <si>
    <t>Kênh GPIO 2</t>
  </si>
  <si>
    <t>Soft IP</t>
  </si>
  <si>
    <t>HardIP/ ARM core</t>
  </si>
  <si>
    <t>.hwh</t>
  </si>
  <si>
    <t>.bit</t>
  </si>
  <si>
    <t>Nó có độ rộng 4 bit</t>
  </si>
  <si>
    <t>Nó được nối với xung nhịp 100MHz</t>
  </si>
  <si>
    <t>mã nhị phân, cấu hình các LUT, Wire, Switch</t>
  </si>
  <si>
    <t>để tạo thành SoftIP</t>
  </si>
  <si>
    <r>
      <t xml:space="preserve">Khối SoftIP nằm ở địa chỉ </t>
    </r>
    <r>
      <rPr>
        <i/>
        <sz val="10"/>
        <color theme="1"/>
        <rFont val="Arial Unicode MS"/>
      </rPr>
      <t>0x41200000</t>
    </r>
  </si>
  <si>
    <t>File .bit và .hwh phải cùng tên</t>
  </si>
  <si>
    <t>Memory Mapping (mmap)</t>
  </si>
  <si>
    <t>bitstream</t>
  </si>
  <si>
    <t xml:space="preserve">QSPI Flash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</si>
</sst>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rgb="FFCC9900"/>
      <name val="Calibri"/>
      <family val="2"/>
      <scheme val="minor"/>
    </font>
    <font>
      <i/>
      <sz val="9"/>
      <color rgb="FF00B050"/>
      <name val="Calibri"/>
      <family val="2"/>
      <scheme val="minor"/>
    </font>
    <font>
      <i/>
      <sz val="11"/>
      <color theme="1"/>
      <name val="Times New Roman"/>
      <family val="1"/>
      <charset val="163"/>
    </font>
    <font>
      <b/>
      <sz val="11"/>
      <color theme="1"/>
      <name val="Calibri"/>
      <family val="2"/>
      <charset val="163"/>
      <scheme val="minor"/>
    </font>
    <font>
      <b/>
      <i/>
      <sz val="10"/>
      <color theme="1"/>
      <name val="Times New Roman"/>
      <family val="1"/>
    </font>
    <font>
      <b/>
      <i/>
      <sz val="10"/>
      <color theme="1"/>
      <name val="Calibri"/>
      <family val="2"/>
      <charset val="163"/>
      <scheme val="minor"/>
    </font>
    <font>
      <i/>
      <sz val="10"/>
      <color theme="1"/>
      <name val="Arial Unicode MS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CC9900"/>
      </right>
      <top/>
      <bottom/>
      <diagonal/>
    </border>
    <border diagonalDown="1">
      <left style="thick">
        <color rgb="FFCC9900"/>
      </left>
      <right/>
      <top/>
      <bottom/>
      <diagonal style="thick">
        <color rgb="FFCC9900"/>
      </diagonal>
    </border>
    <border>
      <left/>
      <right style="thick">
        <color theme="4" tint="-0.249977111117893"/>
      </right>
      <top/>
      <bottom style="medium">
        <color theme="4" tint="-0.249977111117893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/>
      <right/>
      <top/>
      <bottom style="thick">
        <color rgb="FFCC9900"/>
      </bottom>
      <diagonal/>
    </border>
    <border>
      <left/>
      <right style="thick">
        <color rgb="FFCC9900"/>
      </right>
      <top/>
      <bottom style="thick">
        <color rgb="FFCC9900"/>
      </bottom>
      <diagonal/>
    </border>
    <border diagonalDown="1">
      <left/>
      <right/>
      <top/>
      <bottom/>
      <diagonal style="thick">
        <color rgb="FFCC9900"/>
      </diagonal>
    </border>
    <border diagonalUp="1">
      <left/>
      <right/>
      <top/>
      <bottom/>
      <diagonal style="thick">
        <color rgb="FFCC9900"/>
      </diagonal>
    </border>
    <border>
      <left/>
      <right style="thick">
        <color rgb="FFCC9900"/>
      </right>
      <top style="thick">
        <color rgb="FFCC9900"/>
      </top>
      <bottom/>
      <diagonal/>
    </border>
    <border diagonalUp="1">
      <left style="thick">
        <color rgb="FFCC9900"/>
      </left>
      <right style="thick">
        <color theme="8" tint="-0.249977111117893"/>
      </right>
      <top/>
      <bottom/>
      <diagonal style="thick">
        <color rgb="FFCC9900"/>
      </diagonal>
    </border>
    <border>
      <left/>
      <right/>
      <top/>
      <bottom style="thick">
        <color indexed="64"/>
      </bottom>
      <diagonal/>
    </border>
    <border>
      <left/>
      <right style="thick">
        <color theme="8" tint="-0.249977111117893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theme="8" tint="-0.249977111117893"/>
      </bottom>
      <diagonal/>
    </border>
    <border>
      <left/>
      <right style="thick">
        <color theme="8" tint="-0.249977111117893"/>
      </right>
      <top/>
      <bottom style="thick">
        <color theme="8" tint="-0.249977111117893"/>
      </bottom>
      <diagonal/>
    </border>
    <border>
      <left/>
      <right style="thick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 style="thick">
        <color theme="4" tint="-0.249977111117893"/>
      </right>
      <top/>
      <bottom/>
      <diagonal style="thick">
        <color theme="4" tint="-0.249977111117893"/>
      </diagonal>
    </border>
    <border>
      <left/>
      <right/>
      <top/>
      <bottom style="thick">
        <color theme="4" tint="-0.249977111117893"/>
      </bottom>
      <diagonal/>
    </border>
    <border diagonalUp="1">
      <left/>
      <right/>
      <top/>
      <bottom/>
      <diagonal style="thick">
        <color theme="4" tint="-0.249977111117893"/>
      </diagonal>
    </border>
    <border>
      <left/>
      <right style="thick">
        <color theme="4" tint="-0.249977111117893"/>
      </right>
      <top/>
      <bottom style="thick">
        <color theme="4" tint="-0.249977111117893"/>
      </bottom>
      <diagonal/>
    </border>
    <border diagonalDown="1">
      <left/>
      <right/>
      <top/>
      <bottom/>
      <diagonal style="thick">
        <color theme="4" tint="-0.249977111117893"/>
      </diagonal>
    </border>
    <border diagonalDown="1">
      <left/>
      <right style="thick">
        <color theme="4" tint="-0.249977111117893"/>
      </right>
      <top/>
      <bottom/>
      <diagonal style="thick">
        <color theme="4" tint="-0.249977111117893"/>
      </diagonal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/>
    <xf numFmtId="0" fontId="0" fillId="2" borderId="6" xfId="0" applyFill="1" applyBorder="1"/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3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3" fillId="3" borderId="6" xfId="0" applyFont="1" applyFill="1" applyBorder="1" applyAlignment="1" applyProtection="1">
      <alignment horizontal="center"/>
      <protection locked="0"/>
    </xf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3" fillId="0" borderId="18" xfId="0" applyFont="1" applyBorder="1" applyAlignment="1">
      <alignment horizontal="right"/>
    </xf>
    <xf numFmtId="0" fontId="0" fillId="0" borderId="25" xfId="0" applyBorder="1"/>
    <xf numFmtId="0" fontId="2" fillId="5" borderId="6" xfId="0" applyFont="1" applyFill="1" applyBorder="1"/>
    <xf numFmtId="0" fontId="0" fillId="5" borderId="6" xfId="0" applyFill="1" applyBorder="1"/>
    <xf numFmtId="0" fontId="1" fillId="5" borderId="6" xfId="0" applyFont="1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" fillId="0" borderId="31" xfId="0" applyFont="1" applyBorder="1"/>
    <xf numFmtId="0" fontId="0" fillId="0" borderId="31" xfId="0" applyBorder="1"/>
    <xf numFmtId="0" fontId="3" fillId="0" borderId="0" xfId="0" applyFont="1"/>
    <xf numFmtId="0" fontId="8" fillId="0" borderId="0" xfId="0" applyFont="1"/>
    <xf numFmtId="0" fontId="5" fillId="0" borderId="0" xfId="0" applyFont="1"/>
    <xf numFmtId="0" fontId="4" fillId="0" borderId="0" xfId="0" applyFont="1"/>
    <xf numFmtId="0" fontId="0" fillId="0" borderId="32" xfId="0" applyBorder="1"/>
    <xf numFmtId="0" fontId="4" fillId="5" borderId="0" xfId="0" applyFont="1" applyFill="1"/>
    <xf numFmtId="0" fontId="5" fillId="5" borderId="0" xfId="0" applyFont="1" applyFill="1"/>
    <xf numFmtId="0" fontId="0" fillId="0" borderId="0" xfId="0" applyAlignment="1">
      <alignment horizontal="right"/>
    </xf>
    <xf numFmtId="0" fontId="4" fillId="3" borderId="0" xfId="0" applyFont="1" applyFill="1"/>
    <xf numFmtId="0" fontId="5" fillId="3" borderId="0" xfId="0" applyFont="1" applyFill="1"/>
    <xf numFmtId="0" fontId="7" fillId="0" borderId="0" xfId="0" applyFont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9" fillId="0" borderId="28" xfId="0" applyFont="1" applyBorder="1"/>
    <xf numFmtId="0" fontId="10" fillId="5" borderId="0" xfId="0" applyFont="1" applyFill="1"/>
    <xf numFmtId="0" fontId="11" fillId="3" borderId="0" xfId="0" applyFont="1" applyFill="1"/>
    <xf numFmtId="0" fontId="0" fillId="0" borderId="39" xfId="0" applyBorder="1"/>
    <xf numFmtId="0" fontId="0" fillId="6" borderId="36" xfId="0" applyFill="1" applyBorder="1"/>
    <xf numFmtId="0" fontId="0" fillId="6" borderId="37" xfId="0" applyFill="1" applyBorder="1"/>
    <xf numFmtId="0" fontId="0" fillId="6" borderId="38" xfId="0" applyFill="1" applyBorder="1"/>
    <xf numFmtId="0" fontId="0" fillId="7" borderId="31" xfId="0" applyFill="1" applyBorder="1"/>
    <xf numFmtId="0" fontId="13" fillId="7" borderId="0" xfId="0" applyFont="1" applyFill="1"/>
    <xf numFmtId="0" fontId="0" fillId="7" borderId="0" xfId="0" applyFill="1"/>
    <xf numFmtId="0" fontId="0" fillId="7" borderId="19" xfId="0" applyFill="1" applyBorder="1"/>
    <xf numFmtId="0" fontId="0" fillId="7" borderId="33" xfId="0" applyFill="1" applyBorder="1"/>
    <xf numFmtId="0" fontId="13" fillId="7" borderId="34" xfId="0" applyFont="1" applyFill="1" applyBorder="1"/>
    <xf numFmtId="0" fontId="0" fillId="7" borderId="34" xfId="0" applyFill="1" applyBorder="1"/>
    <xf numFmtId="0" fontId="0" fillId="7" borderId="35" xfId="0" applyFill="1" applyBorder="1"/>
    <xf numFmtId="0" fontId="0" fillId="5" borderId="36" xfId="0" applyFill="1" applyBorder="1"/>
    <xf numFmtId="0" fontId="0" fillId="5" borderId="37" xfId="0" applyFill="1" applyBorder="1"/>
    <xf numFmtId="0" fontId="0" fillId="5" borderId="38" xfId="0" applyFill="1" applyBorder="1"/>
    <xf numFmtId="0" fontId="0" fillId="8" borderId="31" xfId="0" applyFill="1" applyBorder="1"/>
    <xf numFmtId="0" fontId="13" fillId="8" borderId="0" xfId="0" applyFont="1" applyFill="1"/>
    <xf numFmtId="0" fontId="0" fillId="8" borderId="0" xfId="0" applyFill="1"/>
    <xf numFmtId="0" fontId="0" fillId="8" borderId="19" xfId="0" applyFill="1" applyBorder="1"/>
    <xf numFmtId="0" fontId="0" fillId="8" borderId="33" xfId="0" applyFill="1" applyBorder="1"/>
    <xf numFmtId="0" fontId="13" fillId="8" borderId="34" xfId="0" applyFont="1" applyFill="1" applyBorder="1"/>
    <xf numFmtId="0" fontId="0" fillId="8" borderId="34" xfId="0" applyFill="1" applyBorder="1"/>
    <xf numFmtId="0" fontId="0" fillId="8" borderId="35" xfId="0" applyFill="1" applyBorder="1"/>
    <xf numFmtId="0" fontId="9" fillId="0" borderId="0" xfId="0" applyFont="1"/>
    <xf numFmtId="0" fontId="14" fillId="0" borderId="0" xfId="0" applyFont="1"/>
    <xf numFmtId="0" fontId="0" fillId="3" borderId="31" xfId="0" applyFill="1" applyBorder="1"/>
    <xf numFmtId="0" fontId="0" fillId="3" borderId="0" xfId="0" applyFill="1"/>
    <xf numFmtId="0" fontId="0" fillId="3" borderId="19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9" borderId="36" xfId="0" applyFill="1" applyBorder="1"/>
    <xf numFmtId="0" fontId="0" fillId="9" borderId="37" xfId="0" applyFill="1" applyBorder="1"/>
    <xf numFmtId="0" fontId="0" fillId="9" borderId="38" xfId="0" applyFill="1" applyBorder="1"/>
    <xf numFmtId="0" fontId="0" fillId="7" borderId="36" xfId="0" applyFill="1" applyBorder="1"/>
    <xf numFmtId="0" fontId="0" fillId="7" borderId="37" xfId="0" applyFill="1" applyBorder="1"/>
    <xf numFmtId="0" fontId="0" fillId="7" borderId="3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0.png"/><Relationship Id="rId13" Type="http://schemas.openxmlformats.org/officeDocument/2006/relationships/customXml" Target="../ink/ink7.xml"/><Relationship Id="rId18" Type="http://schemas.openxmlformats.org/officeDocument/2006/relationships/customXml" Target="../ink/ink12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120.png"/><Relationship Id="rId17" Type="http://schemas.openxmlformats.org/officeDocument/2006/relationships/customXml" Target="../ink/ink11.xml"/><Relationship Id="rId2" Type="http://schemas.openxmlformats.org/officeDocument/2006/relationships/image" Target="../media/image70.png"/><Relationship Id="rId16" Type="http://schemas.openxmlformats.org/officeDocument/2006/relationships/customXml" Target="../ink/ink10.xml"/><Relationship Id="rId1" Type="http://schemas.openxmlformats.org/officeDocument/2006/relationships/customXml" Target="../ink/ink1.xml"/><Relationship Id="rId6" Type="http://schemas.openxmlformats.org/officeDocument/2006/relationships/image" Target="../media/image90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9.xml"/><Relationship Id="rId10" Type="http://schemas.openxmlformats.org/officeDocument/2006/relationships/image" Target="../media/image110.png"/><Relationship Id="rId4" Type="http://schemas.openxmlformats.org/officeDocument/2006/relationships/image" Target="../media/image80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3.xml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4.png"/><Relationship Id="rId5" Type="http://schemas.openxmlformats.org/officeDocument/2006/relationships/customXml" Target="../ink/ink14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1.jp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477</xdr:colOff>
      <xdr:row>12</xdr:row>
      <xdr:rowOff>5477</xdr:rowOff>
    </xdr:from>
    <xdr:to>
      <xdr:col>31</xdr:col>
      <xdr:colOff>477</xdr:colOff>
      <xdr:row>13</xdr:row>
      <xdr:rowOff>184547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2703000-C37D-4608-BF22-6D133FE0E3A9}"/>
            </a:ext>
          </a:extLst>
        </xdr:cNvPr>
        <xdr:cNvCxnSpPr/>
      </xdr:nvCxnSpPr>
      <xdr:spPr>
        <a:xfrm>
          <a:off x="7330917" y="2337197"/>
          <a:ext cx="0" cy="369570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oval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125242</xdr:colOff>
      <xdr:row>9</xdr:row>
      <xdr:rowOff>130115</xdr:rowOff>
    </xdr:from>
    <xdr:to>
      <xdr:col>36</xdr:col>
      <xdr:colOff>67108</xdr:colOff>
      <xdr:row>10</xdr:row>
      <xdr:rowOff>7716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D0E743B-15C8-44B1-B8B4-C904C2F27E31}"/>
                </a:ext>
              </a:extLst>
            </xdr14:cNvPr>
            <xdr14:cNvContentPartPr/>
          </xdr14:nvContentPartPr>
          <xdr14:nvPr macro=""/>
          <xdr14:xfrm>
            <a:off x="6441821" y="1904773"/>
            <a:ext cx="129960" cy="604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7C8FCDD-8F49-9289-8914-43AB1D4FB0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423821" y="1887133"/>
              <a:ext cx="16560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115162</xdr:colOff>
      <xdr:row>11</xdr:row>
      <xdr:rowOff>160036</xdr:rowOff>
    </xdr:from>
    <xdr:to>
      <xdr:col>36</xdr:col>
      <xdr:colOff>74668</xdr:colOff>
      <xdr:row>12</xdr:row>
      <xdr:rowOff>9790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F259BD2-127E-4A93-87EC-1B920C259278}"/>
                </a:ext>
              </a:extLst>
            </xdr14:cNvPr>
            <xdr14:cNvContentPartPr/>
          </xdr14:nvContentPartPr>
          <xdr14:nvPr macro=""/>
          <xdr14:xfrm>
            <a:off x="6431741" y="2345773"/>
            <a:ext cx="147600" cy="399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6CEAAE31-936C-15C3-CCF9-1A15C2A4E0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413741" y="2328133"/>
              <a:ext cx="18324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38</xdr:col>
      <xdr:colOff>48193</xdr:colOff>
      <xdr:row>10</xdr:row>
      <xdr:rowOff>150269</xdr:rowOff>
    </xdr:from>
    <xdr:to>
      <xdr:col>39</xdr:col>
      <xdr:colOff>117139</xdr:colOff>
      <xdr:row>11</xdr:row>
      <xdr:rowOff>80595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A28381D-1EF2-4058-BBC9-A0BAB19614BE}"/>
                </a:ext>
              </a:extLst>
            </xdr14:cNvPr>
            <xdr14:cNvContentPartPr/>
          </xdr14:nvContentPartPr>
          <xdr14:nvPr macro=""/>
          <xdr14:xfrm>
            <a:off x="6906193" y="2125453"/>
            <a:ext cx="257040" cy="1256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7A49BD4-81BF-FDB8-A961-67A051AC1C4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888193" y="2107453"/>
              <a:ext cx="29268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109924</xdr:colOff>
      <xdr:row>6</xdr:row>
      <xdr:rowOff>170148</xdr:rowOff>
    </xdr:from>
    <xdr:to>
      <xdr:col>28</xdr:col>
      <xdr:colOff>7871</xdr:colOff>
      <xdr:row>7</xdr:row>
      <xdr:rowOff>89428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CCAF098-725F-41EF-91D1-52612477EBB9}"/>
                </a:ext>
              </a:extLst>
            </xdr14:cNvPr>
            <xdr14:cNvContentPartPr/>
          </xdr14:nvContentPartPr>
          <xdr14:nvPr macro=""/>
          <xdr14:xfrm>
            <a:off x="4982713" y="1353253"/>
            <a:ext cx="86040" cy="1105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A2D3FB2-C2C2-0832-C7FE-71313C4653A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973713" y="1344253"/>
              <a:ext cx="10368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143404</xdr:colOff>
      <xdr:row>14</xdr:row>
      <xdr:rowOff>140170</xdr:rowOff>
    </xdr:from>
    <xdr:to>
      <xdr:col>28</xdr:col>
      <xdr:colOff>32711</xdr:colOff>
      <xdr:row>15</xdr:row>
      <xdr:rowOff>74211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B71837F-8564-4AA3-94C2-0AE38DBC5F9B}"/>
                </a:ext>
              </a:extLst>
            </xdr14:cNvPr>
            <xdr14:cNvContentPartPr/>
          </xdr14:nvContentPartPr>
          <xdr14:nvPr macro=""/>
          <xdr14:xfrm>
            <a:off x="5016193" y="2716933"/>
            <a:ext cx="77400" cy="1252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2C183B6-DEB1-7315-24DF-B718DC765A6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007193" y="2707933"/>
              <a:ext cx="9504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144976</xdr:colOff>
      <xdr:row>10</xdr:row>
      <xdr:rowOff>175109</xdr:rowOff>
    </xdr:from>
    <xdr:to>
      <xdr:col>30</xdr:col>
      <xdr:colOff>35364</xdr:colOff>
      <xdr:row>11</xdr:row>
      <xdr:rowOff>86355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CED6713-221D-4A2C-8EED-D74BD6E3A743}"/>
                </a:ext>
              </a:extLst>
            </xdr14:cNvPr>
            <xdr14:cNvContentPartPr/>
          </xdr14:nvContentPartPr>
          <xdr14:nvPr macro=""/>
          <xdr14:xfrm>
            <a:off x="5698051" y="2032484"/>
            <a:ext cx="80888" cy="111271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713548C-CE23-DBFA-ADE7-E47363C2C45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370073" y="2141653"/>
              <a:ext cx="9612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101150</xdr:colOff>
      <xdr:row>6</xdr:row>
      <xdr:rowOff>162628</xdr:rowOff>
    </xdr:from>
    <xdr:to>
      <xdr:col>35</xdr:col>
      <xdr:colOff>411</xdr:colOff>
      <xdr:row>7</xdr:row>
      <xdr:rowOff>81908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3B39365-9C8A-4E55-9916-6A0699ADA2BD}"/>
                </a:ext>
              </a:extLst>
            </xdr14:cNvPr>
            <xdr14:cNvContentPartPr/>
          </xdr14:nvContentPartPr>
          <xdr14:nvPr macro=""/>
          <xdr14:xfrm>
            <a:off x="6173338" y="1388972"/>
            <a:ext cx="84160" cy="112399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EBF91C5-D49F-447A-893D-B49F0B979AB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164535" y="1379819"/>
              <a:ext cx="101415" cy="1303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77391</xdr:colOff>
      <xdr:row>14</xdr:row>
      <xdr:rowOff>148828</xdr:rowOff>
    </xdr:from>
    <xdr:to>
      <xdr:col>34</xdr:col>
      <xdr:colOff>154791</xdr:colOff>
      <xdr:row>15</xdr:row>
      <xdr:rowOff>80988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507B0DA-55F6-47B9-9DEB-99ECFAB3E1E1}"/>
                </a:ext>
              </a:extLst>
            </xdr14:cNvPr>
            <xdr14:cNvContentPartPr/>
          </xdr14:nvContentPartPr>
          <xdr14:nvPr macro=""/>
          <xdr14:xfrm>
            <a:off x="6149579" y="2792016"/>
            <a:ext cx="77400" cy="1252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701361C-7254-4E0E-99EF-FA6E948D2A8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140784" y="2782885"/>
              <a:ext cx="94639" cy="1431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106823</xdr:colOff>
      <xdr:row>5</xdr:row>
      <xdr:rowOff>12240</xdr:rowOff>
    </xdr:from>
    <xdr:to>
      <xdr:col>20</xdr:col>
      <xdr:colOff>31129</xdr:colOff>
      <xdr:row>5</xdr:row>
      <xdr:rowOff>98280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7A91E3E-CE12-448B-B1E3-31C5114195CC}"/>
                </a:ext>
              </a:extLst>
            </xdr14:cNvPr>
            <xdr14:cNvContentPartPr/>
          </xdr14:nvContentPartPr>
          <xdr14:nvPr macro=""/>
          <xdr14:xfrm rot="5165262">
            <a:off x="5119688" y="1023938"/>
            <a:ext cx="86040" cy="110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8FBF258-4436-4D9E-97EC-CE15A0754A4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27460" y="1373099"/>
              <a:ext cx="104212" cy="129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116348</xdr:colOff>
      <xdr:row>5</xdr:row>
      <xdr:rowOff>3905</xdr:rowOff>
    </xdr:from>
    <xdr:to>
      <xdr:col>21</xdr:col>
      <xdr:colOff>40655</xdr:colOff>
      <xdr:row>5</xdr:row>
      <xdr:rowOff>89945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3CA6116-A73E-477C-A883-EE29CF2BE12B}"/>
                </a:ext>
              </a:extLst>
            </xdr14:cNvPr>
            <xdr14:cNvContentPartPr/>
          </xdr14:nvContentPartPr>
          <xdr14:nvPr macro=""/>
          <xdr14:xfrm rot="5165262">
            <a:off x="5307807" y="1015603"/>
            <a:ext cx="86040" cy="110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8FBF258-4436-4D9E-97EC-CE15A0754A4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27460" y="1373099"/>
              <a:ext cx="104212" cy="12906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26</xdr:col>
      <xdr:colOff>53579</xdr:colOff>
      <xdr:row>9</xdr:row>
      <xdr:rowOff>83344</xdr:rowOff>
    </xdr:from>
    <xdr:to>
      <xdr:col>28</xdr:col>
      <xdr:colOff>5954</xdr:colOff>
      <xdr:row>9</xdr:row>
      <xdr:rowOff>178594</xdr:rowOff>
    </xdr:to>
    <xdr:sp macro="" textlink="">
      <xdr:nvSpPr>
        <xdr:cNvPr id="15" name="Arrow: Pentagon 14">
          <a:extLst>
            <a:ext uri="{FF2B5EF4-FFF2-40B4-BE49-F238E27FC236}">
              <a16:creationId xmlns:a16="http://schemas.microsoft.com/office/drawing/2014/main" id="{F4F0780C-0299-48AB-93A6-4B6EF7EAC0E7}"/>
            </a:ext>
          </a:extLst>
        </xdr:cNvPr>
        <xdr:cNvSpPr/>
      </xdr:nvSpPr>
      <xdr:spPr>
        <a:xfrm rot="8834527">
          <a:off x="6454379" y="1835944"/>
          <a:ext cx="318135" cy="952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73573</xdr:colOff>
      <xdr:row>19</xdr:row>
      <xdr:rowOff>63062</xdr:rowOff>
    </xdr:from>
    <xdr:to>
      <xdr:col>37</xdr:col>
      <xdr:colOff>99848</xdr:colOff>
      <xdr:row>23</xdr:row>
      <xdr:rowOff>131380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AB9D68C-B767-6056-0C27-20ABD9391E15}"/>
            </a:ext>
          </a:extLst>
        </xdr:cNvPr>
        <xdr:cNvSpPr/>
      </xdr:nvSpPr>
      <xdr:spPr>
        <a:xfrm>
          <a:off x="262759" y="3636579"/>
          <a:ext cx="6868510" cy="8040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from pynq import Overlay</a:t>
          </a:r>
        </a:p>
        <a:p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ol = Overlay("system.bit")</a:t>
          </a:r>
        </a:p>
        <a:p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my_leds = ol.axi_gpio_0          # PYNQ tự tìm địa chỉ dựa trên file .hwh</a:t>
          </a:r>
        </a:p>
        <a:p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my_leds.write(0, 0x0F)            # Ghi vào Offset 0x00 (Kênh 1) để bật 4 LED</a:t>
          </a:r>
        </a:p>
      </xdr:txBody>
    </xdr:sp>
    <xdr:clientData/>
  </xdr:twoCellAnchor>
  <xdr:twoCellAnchor editAs="oneCell">
    <xdr:from>
      <xdr:col>30</xdr:col>
      <xdr:colOff>144074</xdr:colOff>
      <xdr:row>9</xdr:row>
      <xdr:rowOff>123626</xdr:rowOff>
    </xdr:from>
    <xdr:to>
      <xdr:col>31</xdr:col>
      <xdr:colOff>64845</xdr:colOff>
      <xdr:row>10</xdr:row>
      <xdr:rowOff>14014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2FDA3EA-3742-4C6D-B18B-BEFFCD9ADE89}"/>
                </a:ext>
              </a:extLst>
            </xdr14:cNvPr>
            <xdr14:cNvContentPartPr/>
          </xdr14:nvContentPartPr>
          <xdr14:nvPr macro=""/>
          <xdr14:xfrm rot="16864748">
            <a:off x="5902841" y="1775309"/>
            <a:ext cx="80888" cy="111271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713548C-CE23-DBFA-ADE7-E47363C2C45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370073" y="2141653"/>
              <a:ext cx="9612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137208</xdr:colOff>
      <xdr:row>12</xdr:row>
      <xdr:rowOff>10431</xdr:rowOff>
    </xdr:from>
    <xdr:to>
      <xdr:col>31</xdr:col>
      <xdr:colOff>57979</xdr:colOff>
      <xdr:row>12</xdr:row>
      <xdr:rowOff>91319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AEFE5556-9241-4799-A063-A83CFB2818A7}"/>
                </a:ext>
              </a:extLst>
            </xdr14:cNvPr>
            <xdr14:cNvContentPartPr/>
          </xdr14:nvContentPartPr>
          <xdr14:nvPr macro=""/>
          <xdr14:xfrm rot="5400000">
            <a:off x="5895975" y="2243139"/>
            <a:ext cx="80888" cy="111271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713548C-CE23-DBFA-ADE7-E47363C2C45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370073" y="2141653"/>
              <a:ext cx="96120" cy="124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111610</xdr:colOff>
      <xdr:row>4</xdr:row>
      <xdr:rowOff>896</xdr:rowOff>
    </xdr:from>
    <xdr:to>
      <xdr:col>15</xdr:col>
      <xdr:colOff>249977</xdr:colOff>
      <xdr:row>19</xdr:row>
      <xdr:rowOff>41366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C278E-CF93-4834-9DDE-F67EC1CDFA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5" t="4935" r="2399" b="5018"/>
        <a:stretch>
          <a:fillRect/>
        </a:stretch>
      </xdr:blipFill>
      <xdr:spPr>
        <a:xfrm>
          <a:off x="4988410" y="732416"/>
          <a:ext cx="4405567" cy="278367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</xdr:row>
      <xdr:rowOff>68833</xdr:rowOff>
    </xdr:from>
    <xdr:to>
      <xdr:col>5</xdr:col>
      <xdr:colOff>373381</xdr:colOff>
      <xdr:row>17</xdr:row>
      <xdr:rowOff>111163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D2F9E-1C76-27F9-A1C9-64921BA0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166113"/>
          <a:ext cx="2811780" cy="2054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109560</xdr:colOff>
      <xdr:row>13</xdr:row>
      <xdr:rowOff>115736</xdr:rowOff>
    </xdr:from>
    <xdr:to>
      <xdr:col>8</xdr:col>
      <xdr:colOff>224118</xdr:colOff>
      <xdr:row>15</xdr:row>
      <xdr:rowOff>54148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772BA97-024E-F4F2-6A54-454C37CB9485}"/>
                </a:ext>
              </a:extLst>
            </xdr14:cNvPr>
            <xdr14:cNvContentPartPr/>
          </xdr14:nvContentPartPr>
          <xdr14:nvPr macro=""/>
          <xdr14:xfrm>
            <a:off x="3157560" y="2446560"/>
            <a:ext cx="1943358" cy="2970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772BA97-024E-F4F2-6A54-454C37CB948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21559" y="2410560"/>
              <a:ext cx="2015001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70980</xdr:colOff>
      <xdr:row>10</xdr:row>
      <xdr:rowOff>76373</xdr:rowOff>
    </xdr:from>
    <xdr:to>
      <xdr:col>8</xdr:col>
      <xdr:colOff>225462</xdr:colOff>
      <xdr:row>14</xdr:row>
      <xdr:rowOff>51476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D1F919B-960E-C90C-FD52-150386E55EC3}"/>
                </a:ext>
              </a:extLst>
            </xdr14:cNvPr>
            <xdr14:cNvContentPartPr/>
          </xdr14:nvContentPartPr>
          <xdr14:nvPr macro=""/>
          <xdr14:xfrm>
            <a:off x="3118980" y="1905173"/>
            <a:ext cx="1983282" cy="706623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D1F919B-960E-C90C-FD52-150386E55E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82979" y="1868795"/>
              <a:ext cx="2054924" cy="779747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99956</xdr:colOff>
      <xdr:row>8</xdr:row>
      <xdr:rowOff>43927</xdr:rowOff>
    </xdr:from>
    <xdr:ext cx="1285160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006CBFF-7D2B-858E-0245-0D4FAABE3257}"/>
            </a:ext>
          </a:extLst>
        </xdr:cNvPr>
        <xdr:cNvSpPr txBox="1"/>
      </xdr:nvSpPr>
      <xdr:spPr>
        <a:xfrm>
          <a:off x="3757556" y="1506967"/>
          <a:ext cx="128516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192.168.2.99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9208</xdr:colOff>
      <xdr:row>41</xdr:row>
      <xdr:rowOff>172382</xdr:rowOff>
    </xdr:from>
    <xdr:to>
      <xdr:col>47</xdr:col>
      <xdr:colOff>107819</xdr:colOff>
      <xdr:row>67</xdr:row>
      <xdr:rowOff>172382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204F63F-9ACA-4B05-87AC-5F5AD20FCE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5" t="4935" r="2399" b="5018"/>
        <a:stretch>
          <a:fillRect/>
        </a:stretch>
      </xdr:blipFill>
      <xdr:spPr>
        <a:xfrm>
          <a:off x="1522698" y="7713554"/>
          <a:ext cx="7476873" cy="4782207"/>
        </a:xfrm>
        <a:prstGeom prst="rect">
          <a:avLst/>
        </a:prstGeom>
      </xdr:spPr>
    </xdr:pic>
    <xdr:clientData/>
  </xdr:twoCellAnchor>
  <xdr:twoCellAnchor editAs="oneCell">
    <xdr:from>
      <xdr:col>9</xdr:col>
      <xdr:colOff>17931</xdr:colOff>
      <xdr:row>5</xdr:row>
      <xdr:rowOff>152400</xdr:rowOff>
    </xdr:from>
    <xdr:to>
      <xdr:col>48</xdr:col>
      <xdr:colOff>116542</xdr:colOff>
      <xdr:row>31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83221C-4FF4-F29E-09D7-91385AA138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5" t="4935" r="2399" b="5018"/>
        <a:stretch>
          <a:fillRect/>
        </a:stretch>
      </xdr:blipFill>
      <xdr:spPr>
        <a:xfrm>
          <a:off x="1732431" y="1066800"/>
          <a:ext cx="7528111" cy="4754881"/>
        </a:xfrm>
        <a:prstGeom prst="rect">
          <a:avLst/>
        </a:prstGeom>
      </xdr:spPr>
    </xdr:pic>
    <xdr:clientData/>
  </xdr:twoCellAnchor>
  <xdr:twoCellAnchor>
    <xdr:from>
      <xdr:col>17</xdr:col>
      <xdr:colOff>182880</xdr:colOff>
      <xdr:row>33</xdr:row>
      <xdr:rowOff>76200</xdr:rowOff>
    </xdr:from>
    <xdr:to>
      <xdr:col>25</xdr:col>
      <xdr:colOff>182880</xdr:colOff>
      <xdr:row>37</xdr:row>
      <xdr:rowOff>160020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14BCB26D-CA05-AD1B-2ED2-E9E347770BC2}"/>
            </a:ext>
          </a:extLst>
        </xdr:cNvPr>
        <xdr:cNvSpPr/>
      </xdr:nvSpPr>
      <xdr:spPr>
        <a:xfrm>
          <a:off x="3421380" y="6111240"/>
          <a:ext cx="1524000" cy="815340"/>
        </a:xfrm>
        <a:prstGeom prst="wedgeRectCallout">
          <a:avLst>
            <a:gd name="adj1" fmla="val 31353"/>
            <a:gd name="adj2" fmla="val -143137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PROG</a:t>
          </a:r>
          <a:br>
            <a:rPr lang="en-US" sz="1100" b="1"/>
          </a:br>
          <a:r>
            <a:rPr lang="en-US"/>
            <a:t>Xóa cấu hình hiện tại của vùng FPGA và buộc nó phải nạp lại từ đầu.</a:t>
          </a:r>
          <a:endParaRPr lang="en-US" sz="1100" b="1"/>
        </a:p>
      </xdr:txBody>
    </xdr:sp>
    <xdr:clientData/>
  </xdr:twoCellAnchor>
  <xdr:twoCellAnchor>
    <xdr:from>
      <xdr:col>26</xdr:col>
      <xdr:colOff>180133</xdr:colOff>
      <xdr:row>33</xdr:row>
      <xdr:rowOff>62948</xdr:rowOff>
    </xdr:from>
    <xdr:to>
      <xdr:col>31</xdr:col>
      <xdr:colOff>46383</xdr:colOff>
      <xdr:row>37</xdr:row>
      <xdr:rowOff>146767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B04A5621-FE46-45B6-BE05-04683CAC86BC}"/>
            </a:ext>
          </a:extLst>
        </xdr:cNvPr>
        <xdr:cNvSpPr/>
      </xdr:nvSpPr>
      <xdr:spPr>
        <a:xfrm>
          <a:off x="5176203" y="6185452"/>
          <a:ext cx="827032" cy="825941"/>
        </a:xfrm>
        <a:prstGeom prst="wedgeRectCallout">
          <a:avLst>
            <a:gd name="adj1" fmla="val -39768"/>
            <a:gd name="adj2" fmla="val -123081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SRST</a:t>
          </a:r>
          <a:br>
            <a:rPr lang="en-US" sz="1100" b="1"/>
          </a:br>
          <a:r>
            <a:rPr lang="en-US"/>
            <a:t>Khởi</a:t>
          </a:r>
          <a:r>
            <a:rPr lang="en-US" baseline="0"/>
            <a:t> động lại toàn bộ Dev Kit</a:t>
          </a:r>
          <a:endParaRPr lang="en-US" sz="1100" b="1"/>
        </a:p>
      </xdr:txBody>
    </xdr:sp>
    <xdr:clientData/>
  </xdr:twoCellAnchor>
  <xdr:twoCellAnchor>
    <xdr:from>
      <xdr:col>21</xdr:col>
      <xdr:colOff>15571</xdr:colOff>
      <xdr:row>31</xdr:row>
      <xdr:rowOff>41744</xdr:rowOff>
    </xdr:from>
    <xdr:to>
      <xdr:col>23</xdr:col>
      <xdr:colOff>130188</xdr:colOff>
      <xdr:row>33</xdr:row>
      <xdr:rowOff>112644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F5CC4FF0-1353-49C3-8F66-4CB35B7BFE1C}"/>
            </a:ext>
          </a:extLst>
        </xdr:cNvPr>
        <xdr:cNvSpPr/>
      </xdr:nvSpPr>
      <xdr:spPr>
        <a:xfrm>
          <a:off x="4050858" y="5793187"/>
          <a:ext cx="498930" cy="441961"/>
        </a:xfrm>
        <a:prstGeom prst="wedgeRectCallout">
          <a:avLst>
            <a:gd name="adj1" fmla="val -6864"/>
            <a:gd name="adj2" fmla="val -112696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SW</a:t>
          </a:r>
          <a:r>
            <a:rPr lang="en-US" sz="1100" b="1" baseline="0"/>
            <a:t>0</a:t>
          </a:r>
          <a:br>
            <a:rPr lang="en-US" sz="1100" b="1" baseline="0"/>
          </a:br>
          <a:r>
            <a:rPr lang="en-US" sz="1100" b="1">
              <a:solidFill>
                <a:srgbClr val="FF0000"/>
              </a:solidFill>
            </a:rPr>
            <a:t>M20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18</xdr:col>
      <xdr:colOff>68580</xdr:colOff>
      <xdr:row>31</xdr:row>
      <xdr:rowOff>41744</xdr:rowOff>
    </xdr:from>
    <xdr:to>
      <xdr:col>20</xdr:col>
      <xdr:colOff>183197</xdr:colOff>
      <xdr:row>33</xdr:row>
      <xdr:rowOff>112644</xdr:rowOff>
    </xdr:to>
    <xdr:sp macro="" textlink="">
      <xdr:nvSpPr>
        <xdr:cNvPr id="7" name="Speech Bubble: Rectangle 6">
          <a:extLst>
            <a:ext uri="{FF2B5EF4-FFF2-40B4-BE49-F238E27FC236}">
              <a16:creationId xmlns:a16="http://schemas.microsoft.com/office/drawing/2014/main" id="{A61424FA-B2C3-4EC1-99F6-1A3E2320E490}"/>
            </a:ext>
          </a:extLst>
        </xdr:cNvPr>
        <xdr:cNvSpPr/>
      </xdr:nvSpPr>
      <xdr:spPr>
        <a:xfrm>
          <a:off x="3527397" y="5793187"/>
          <a:ext cx="498930" cy="441961"/>
        </a:xfrm>
        <a:prstGeom prst="wedgeRectCallout">
          <a:avLst>
            <a:gd name="adj1" fmla="val 17198"/>
            <a:gd name="adj2" fmla="val -12030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SW1</a:t>
          </a:r>
          <a:br>
            <a:rPr lang="en-US" sz="1100" b="1" baseline="0"/>
          </a:br>
          <a:r>
            <a:rPr lang="en-US" sz="1100" b="1">
              <a:solidFill>
                <a:srgbClr val="FF0000"/>
              </a:solidFill>
            </a:rPr>
            <a:t>M19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21</xdr:col>
      <xdr:colOff>15570</xdr:colOff>
      <xdr:row>21</xdr:row>
      <xdr:rowOff>13252</xdr:rowOff>
    </xdr:from>
    <xdr:to>
      <xdr:col>26</xdr:col>
      <xdr:colOff>72886</xdr:colOff>
      <xdr:row>23</xdr:row>
      <xdr:rowOff>92766</xdr:rowOff>
    </xdr:to>
    <xdr:sp macro="" textlink="">
      <xdr:nvSpPr>
        <xdr:cNvPr id="8" name="Speech Bubble: Rectangle 7">
          <a:extLst>
            <a:ext uri="{FF2B5EF4-FFF2-40B4-BE49-F238E27FC236}">
              <a16:creationId xmlns:a16="http://schemas.microsoft.com/office/drawing/2014/main" id="{0AE33DE1-9577-4B35-AC33-10B69853CE10}"/>
            </a:ext>
          </a:extLst>
        </xdr:cNvPr>
        <xdr:cNvSpPr/>
      </xdr:nvSpPr>
      <xdr:spPr>
        <a:xfrm>
          <a:off x="4050857" y="3909391"/>
          <a:ext cx="1018099" cy="450575"/>
        </a:xfrm>
        <a:prstGeom prst="wedgeRectCallout">
          <a:avLst>
            <a:gd name="adj1" fmla="val -36967"/>
            <a:gd name="adj2" fmla="val 126269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FF0000"/>
              </a:solidFill>
            </a:rPr>
            <a:t>R</a:t>
          </a:r>
          <a:r>
            <a:rPr lang="en-US" sz="1100" b="1">
              <a:solidFill>
                <a:srgbClr val="00B050"/>
              </a:solidFill>
            </a:rPr>
            <a:t>G</a:t>
          </a:r>
          <a:r>
            <a:rPr lang="en-US" sz="1100" b="1">
              <a:solidFill>
                <a:srgbClr val="0070C0"/>
              </a:solidFill>
            </a:rPr>
            <a:t>B</a:t>
          </a:r>
          <a:r>
            <a:rPr lang="en-US" sz="1100" b="1"/>
            <a:t>0</a:t>
          </a:r>
          <a:br>
            <a:rPr lang="en-US" sz="1100" b="1" baseline="0"/>
          </a:br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N15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G17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L15</a:t>
          </a:r>
        </a:p>
        <a:p>
          <a:pPr algn="l"/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15</xdr:col>
      <xdr:colOff>86139</xdr:colOff>
      <xdr:row>21</xdr:row>
      <xdr:rowOff>8614</xdr:rowOff>
    </xdr:from>
    <xdr:to>
      <xdr:col>20</xdr:col>
      <xdr:colOff>132523</xdr:colOff>
      <xdr:row>23</xdr:row>
      <xdr:rowOff>86139</xdr:rowOff>
    </xdr:to>
    <xdr:sp macro="" textlink="">
      <xdr:nvSpPr>
        <xdr:cNvPr id="9" name="Speech Bubble: Rectangle 8">
          <a:extLst>
            <a:ext uri="{FF2B5EF4-FFF2-40B4-BE49-F238E27FC236}">
              <a16:creationId xmlns:a16="http://schemas.microsoft.com/office/drawing/2014/main" id="{ADDFF4F0-6723-46D7-8F58-3F815EEA987D}"/>
            </a:ext>
          </a:extLst>
        </xdr:cNvPr>
        <xdr:cNvSpPr/>
      </xdr:nvSpPr>
      <xdr:spPr>
        <a:xfrm>
          <a:off x="2968487" y="3904753"/>
          <a:ext cx="1007166" cy="448586"/>
        </a:xfrm>
        <a:prstGeom prst="wedgeRectCallout">
          <a:avLst>
            <a:gd name="adj1" fmla="val 36975"/>
            <a:gd name="adj2" fmla="val 127791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FF0000"/>
              </a:solidFill>
            </a:rPr>
            <a:t>R</a:t>
          </a:r>
          <a:r>
            <a:rPr lang="en-US" sz="1100" b="1">
              <a:solidFill>
                <a:srgbClr val="00B050"/>
              </a:solidFill>
            </a:rPr>
            <a:t>G</a:t>
          </a:r>
          <a:r>
            <a:rPr lang="en-US" sz="1100" b="1">
              <a:solidFill>
                <a:srgbClr val="0070C0"/>
              </a:solidFill>
            </a:rPr>
            <a:t>B</a:t>
          </a:r>
          <a:r>
            <a:rPr lang="en-US" sz="1100" b="1">
              <a:solidFill>
                <a:schemeClr val="dk1"/>
              </a:solidFill>
            </a:rPr>
            <a:t>1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L14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G15</a:t>
          </a:r>
        </a:p>
        <a:p>
          <a:pPr algn="l"/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34</xdr:col>
      <xdr:colOff>33131</xdr:colOff>
      <xdr:row>32</xdr:row>
      <xdr:rowOff>35117</xdr:rowOff>
    </xdr:from>
    <xdr:to>
      <xdr:col>36</xdr:col>
      <xdr:colOff>185529</xdr:colOff>
      <xdr:row>34</xdr:row>
      <xdr:rowOff>106017</xdr:rowOff>
    </xdr:to>
    <xdr:sp macro="" textlink="">
      <xdr:nvSpPr>
        <xdr:cNvPr id="10" name="Speech Bubble: Rectangle 9">
          <a:extLst>
            <a:ext uri="{FF2B5EF4-FFF2-40B4-BE49-F238E27FC236}">
              <a16:creationId xmlns:a16="http://schemas.microsoft.com/office/drawing/2014/main" id="{3DBCCD45-F25C-49F5-9CD1-30E2FCEE5B87}"/>
            </a:ext>
          </a:extLst>
        </xdr:cNvPr>
        <xdr:cNvSpPr/>
      </xdr:nvSpPr>
      <xdr:spPr>
        <a:xfrm>
          <a:off x="6566453" y="5972091"/>
          <a:ext cx="536711" cy="441961"/>
        </a:xfrm>
        <a:prstGeom prst="wedgeRectCallout">
          <a:avLst>
            <a:gd name="adj1" fmla="val 5356"/>
            <a:gd name="adj2" fmla="val -118785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BTN3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L</a:t>
          </a:r>
          <a:r>
            <a:rPr lang="en-US" sz="1100" b="1">
              <a:solidFill>
                <a:srgbClr val="FF0000"/>
              </a:solidFill>
            </a:rPr>
            <a:t>19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37</xdr:col>
      <xdr:colOff>22088</xdr:colOff>
      <xdr:row>32</xdr:row>
      <xdr:rowOff>35117</xdr:rowOff>
    </xdr:from>
    <xdr:to>
      <xdr:col>39</xdr:col>
      <xdr:colOff>174486</xdr:colOff>
      <xdr:row>34</xdr:row>
      <xdr:rowOff>106017</xdr:rowOff>
    </xdr:to>
    <xdr:sp macro="" textlink="">
      <xdr:nvSpPr>
        <xdr:cNvPr id="11" name="Speech Bubble: Rectangle 10">
          <a:extLst>
            <a:ext uri="{FF2B5EF4-FFF2-40B4-BE49-F238E27FC236}">
              <a16:creationId xmlns:a16="http://schemas.microsoft.com/office/drawing/2014/main" id="{614B1AED-9020-E5A7-9EBA-3C9455CF65CF}"/>
            </a:ext>
          </a:extLst>
        </xdr:cNvPr>
        <xdr:cNvSpPr/>
      </xdr:nvSpPr>
      <xdr:spPr>
        <a:xfrm>
          <a:off x="7131879" y="5972091"/>
          <a:ext cx="536711" cy="441961"/>
        </a:xfrm>
        <a:prstGeom prst="wedgeRectCallout">
          <a:avLst>
            <a:gd name="adj1" fmla="val 17198"/>
            <a:gd name="adj2" fmla="val -12030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BTN2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L20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40</xdr:col>
      <xdr:colOff>11044</xdr:colOff>
      <xdr:row>32</xdr:row>
      <xdr:rowOff>35117</xdr:rowOff>
    </xdr:from>
    <xdr:to>
      <xdr:col>42</xdr:col>
      <xdr:colOff>163442</xdr:colOff>
      <xdr:row>34</xdr:row>
      <xdr:rowOff>106017</xdr:rowOff>
    </xdr:to>
    <xdr:sp macro="" textlink="">
      <xdr:nvSpPr>
        <xdr:cNvPr id="12" name="Speech Bubble: Rectangle 11">
          <a:extLst>
            <a:ext uri="{FF2B5EF4-FFF2-40B4-BE49-F238E27FC236}">
              <a16:creationId xmlns:a16="http://schemas.microsoft.com/office/drawing/2014/main" id="{097682B0-F845-0674-55CB-2C656831B2F9}"/>
            </a:ext>
          </a:extLst>
        </xdr:cNvPr>
        <xdr:cNvSpPr/>
      </xdr:nvSpPr>
      <xdr:spPr>
        <a:xfrm>
          <a:off x="7697305" y="5972091"/>
          <a:ext cx="536711" cy="441961"/>
        </a:xfrm>
        <a:prstGeom prst="wedgeRectCallout">
          <a:avLst>
            <a:gd name="adj1" fmla="val 17198"/>
            <a:gd name="adj2" fmla="val -12030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BTN1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D20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43</xdr:col>
      <xdr:colOff>1</xdr:colOff>
      <xdr:row>32</xdr:row>
      <xdr:rowOff>35117</xdr:rowOff>
    </xdr:from>
    <xdr:to>
      <xdr:col>45</xdr:col>
      <xdr:colOff>152399</xdr:colOff>
      <xdr:row>34</xdr:row>
      <xdr:rowOff>106017</xdr:rowOff>
    </xdr:to>
    <xdr:sp macro="" textlink="">
      <xdr:nvSpPr>
        <xdr:cNvPr id="13" name="Speech Bubble: Rectangle 12">
          <a:extLst>
            <a:ext uri="{FF2B5EF4-FFF2-40B4-BE49-F238E27FC236}">
              <a16:creationId xmlns:a16="http://schemas.microsoft.com/office/drawing/2014/main" id="{3DAF187D-6E8D-EB7F-12A9-ABA06DC4CEC8}"/>
            </a:ext>
          </a:extLst>
        </xdr:cNvPr>
        <xdr:cNvSpPr/>
      </xdr:nvSpPr>
      <xdr:spPr>
        <a:xfrm>
          <a:off x="8262731" y="5972091"/>
          <a:ext cx="536711" cy="441961"/>
        </a:xfrm>
        <a:prstGeom prst="wedgeRectCallout">
          <a:avLst>
            <a:gd name="adj1" fmla="val 17198"/>
            <a:gd name="adj2" fmla="val -12030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BTN0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D19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4</xdr:col>
      <xdr:colOff>79513</xdr:colOff>
      <xdr:row>25</xdr:row>
      <xdr:rowOff>106018</xdr:rowOff>
    </xdr:from>
    <xdr:to>
      <xdr:col>8</xdr:col>
      <xdr:colOff>183197</xdr:colOff>
      <xdr:row>28</xdr:row>
      <xdr:rowOff>1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30D191DB-D125-4BFA-9AC8-91102806EF17}"/>
            </a:ext>
          </a:extLst>
        </xdr:cNvPr>
        <xdr:cNvSpPr/>
      </xdr:nvSpPr>
      <xdr:spPr>
        <a:xfrm>
          <a:off x="848139" y="4744279"/>
          <a:ext cx="872310" cy="450574"/>
        </a:xfrm>
        <a:prstGeom prst="wedgeRectCallout">
          <a:avLst>
            <a:gd name="adj1" fmla="val 127427"/>
            <a:gd name="adj2" fmla="val 13126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DC1 Power</a:t>
          </a:r>
        </a:p>
        <a:p>
          <a:pPr algn="l"/>
          <a:r>
            <a:rPr lang="en-US" sz="1100" b="1">
              <a:solidFill>
                <a:schemeClr val="bg1"/>
              </a:solidFill>
            </a:rPr>
            <a:t>7v ~ 15v</a:t>
          </a:r>
        </a:p>
      </xdr:txBody>
    </xdr:sp>
    <xdr:clientData/>
  </xdr:twoCellAnchor>
  <xdr:twoCellAnchor>
    <xdr:from>
      <xdr:col>4</xdr:col>
      <xdr:colOff>53009</xdr:colOff>
      <xdr:row>32</xdr:row>
      <xdr:rowOff>0</xdr:rowOff>
    </xdr:from>
    <xdr:to>
      <xdr:col>13</xdr:col>
      <xdr:colOff>71438</xdr:colOff>
      <xdr:row>36</xdr:row>
      <xdr:rowOff>142875</xdr:rowOff>
    </xdr:to>
    <xdr:sp macro="" textlink="">
      <xdr:nvSpPr>
        <xdr:cNvPr id="15" name="Speech Bubble: Rectangle 14">
          <a:extLst>
            <a:ext uri="{FF2B5EF4-FFF2-40B4-BE49-F238E27FC236}">
              <a16:creationId xmlns:a16="http://schemas.microsoft.com/office/drawing/2014/main" id="{09661C24-64FF-434F-A6C4-5D464542D95F}"/>
            </a:ext>
          </a:extLst>
        </xdr:cNvPr>
        <xdr:cNvSpPr/>
      </xdr:nvSpPr>
      <xdr:spPr>
        <a:xfrm>
          <a:off x="815009" y="5791200"/>
          <a:ext cx="1732929" cy="866775"/>
        </a:xfrm>
        <a:prstGeom prst="wedgeRectCallout">
          <a:avLst>
            <a:gd name="adj1" fmla="val 105396"/>
            <a:gd name="adj2" fmla="val -125238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JP9:</a:t>
          </a:r>
          <a:r>
            <a:rPr lang="en-US" sz="1100" b="1" baseline="0">
              <a:solidFill>
                <a:schemeClr val="bg1"/>
              </a:solidFill>
            </a:rPr>
            <a:t> chọn nguồn</a:t>
          </a:r>
          <a:br>
            <a:rPr lang="en-US" sz="1100" b="1">
              <a:solidFill>
                <a:schemeClr val="bg1"/>
              </a:solidFill>
            </a:rPr>
          </a:br>
          <a:r>
            <a:rPr lang="en-US" sz="1100" b="1">
              <a:solidFill>
                <a:schemeClr val="bg1"/>
              </a:solidFill>
            </a:rPr>
            <a:t>3  (3-2)</a:t>
          </a:r>
          <a:r>
            <a:rPr lang="en-US" sz="1100" b="1" baseline="0">
              <a:solidFill>
                <a:schemeClr val="bg1"/>
              </a:solidFill>
            </a:rPr>
            <a:t> Nguồn từ USB</a:t>
          </a:r>
          <a:endParaRPr lang="en-US" sz="1100" b="1">
            <a:solidFill>
              <a:schemeClr val="bg1"/>
            </a:solidFill>
          </a:endParaRPr>
        </a:p>
        <a:p>
          <a:pPr algn="l"/>
          <a:r>
            <a:rPr lang="en-US" sz="1100" b="1">
              <a:solidFill>
                <a:schemeClr val="bg1"/>
              </a:solidFill>
            </a:rPr>
            <a:t>2</a:t>
          </a:r>
        </a:p>
        <a:p>
          <a:pPr algn="l"/>
          <a:r>
            <a:rPr lang="en-US" sz="1100" b="1">
              <a:solidFill>
                <a:schemeClr val="bg1"/>
              </a:solidFill>
            </a:rPr>
            <a:t>1 (1-2) ==&gt;</a:t>
          </a:r>
          <a:r>
            <a:rPr lang="en-US" sz="1100" b="1" baseline="0">
              <a:solidFill>
                <a:schemeClr val="bg1"/>
              </a:solidFill>
            </a:rPr>
            <a:t>  từ VIN, DC1</a:t>
          </a:r>
          <a:endParaRPr lang="en-US" sz="1100" b="1">
            <a:solidFill>
              <a:schemeClr val="bg1"/>
            </a:solidFill>
          </a:endParaRPr>
        </a:p>
        <a:p>
          <a:pPr algn="l"/>
          <a:endParaRPr lang="en-US" sz="1100" b="1">
            <a:solidFill>
              <a:schemeClr val="bg1"/>
            </a:solidFill>
          </a:endParaRPr>
        </a:p>
        <a:p>
          <a:pPr algn="l"/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168344</xdr:colOff>
      <xdr:row>22</xdr:row>
      <xdr:rowOff>56725</xdr:rowOff>
    </xdr:from>
    <xdr:to>
      <xdr:col>39</xdr:col>
      <xdr:colOff>48127</xdr:colOff>
      <xdr:row>23</xdr:row>
      <xdr:rowOff>168442</xdr:rowOff>
    </xdr:to>
    <xdr:sp macro="" textlink="">
      <xdr:nvSpPr>
        <xdr:cNvPr id="16" name="Speech Bubble: Rectangle 15">
          <a:extLst>
            <a:ext uri="{FF2B5EF4-FFF2-40B4-BE49-F238E27FC236}">
              <a16:creationId xmlns:a16="http://schemas.microsoft.com/office/drawing/2014/main" id="{CD5A8846-2EBB-4B91-9A69-2C72831FF1C7}"/>
            </a:ext>
          </a:extLst>
        </xdr:cNvPr>
        <xdr:cNvSpPr/>
      </xdr:nvSpPr>
      <xdr:spPr>
        <a:xfrm>
          <a:off x="6713523" y="4115378"/>
          <a:ext cx="842309" cy="296201"/>
        </a:xfrm>
        <a:prstGeom prst="wedgeRectCallout">
          <a:avLst>
            <a:gd name="adj1" fmla="val 4492"/>
            <a:gd name="adj2" fmla="val 149032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Nguồn</a:t>
          </a:r>
          <a:r>
            <a:rPr lang="en-US" sz="1100" b="1" baseline="0">
              <a:solidFill>
                <a:schemeClr val="bg1"/>
              </a:solidFill>
            </a:rPr>
            <a:t> VIN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68180</xdr:colOff>
      <xdr:row>22</xdr:row>
      <xdr:rowOff>120141</xdr:rowOff>
    </xdr:from>
    <xdr:to>
      <xdr:col>8</xdr:col>
      <xdr:colOff>181803</xdr:colOff>
      <xdr:row>25</xdr:row>
      <xdr:rowOff>14125</xdr:rowOff>
    </xdr:to>
    <xdr:sp macro="" textlink="">
      <xdr:nvSpPr>
        <xdr:cNvPr id="18" name="Speech Bubble: Rectangle 17">
          <a:extLst>
            <a:ext uri="{FF2B5EF4-FFF2-40B4-BE49-F238E27FC236}">
              <a16:creationId xmlns:a16="http://schemas.microsoft.com/office/drawing/2014/main" id="{16D6D82D-10DD-43C8-9F27-FC82F96413C0}"/>
            </a:ext>
          </a:extLst>
        </xdr:cNvPr>
        <xdr:cNvSpPr/>
      </xdr:nvSpPr>
      <xdr:spPr>
        <a:xfrm>
          <a:off x="838201" y="4178794"/>
          <a:ext cx="883644" cy="447436"/>
        </a:xfrm>
        <a:prstGeom prst="wedgeRectCallout">
          <a:avLst>
            <a:gd name="adj1" fmla="val 127427"/>
            <a:gd name="adj2" fmla="val 13126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Micro</a:t>
          </a:r>
          <a:r>
            <a:rPr lang="en-US" sz="1100" b="1" baseline="0">
              <a:solidFill>
                <a:schemeClr val="bg1"/>
              </a:solidFill>
            </a:rPr>
            <a:t> USB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49</xdr:col>
      <xdr:colOff>182728</xdr:colOff>
      <xdr:row>13</xdr:row>
      <xdr:rowOff>103239</xdr:rowOff>
    </xdr:from>
    <xdr:to>
      <xdr:col>54</xdr:col>
      <xdr:colOff>102920</xdr:colOff>
      <xdr:row>15</xdr:row>
      <xdr:rowOff>178931</xdr:rowOff>
    </xdr:to>
    <xdr:sp macro="" textlink="">
      <xdr:nvSpPr>
        <xdr:cNvPr id="19" name="Speech Bubble: Rectangle 18">
          <a:extLst>
            <a:ext uri="{FF2B5EF4-FFF2-40B4-BE49-F238E27FC236}">
              <a16:creationId xmlns:a16="http://schemas.microsoft.com/office/drawing/2014/main" id="{A99C74B3-7E05-407F-B875-7500664763B5}"/>
            </a:ext>
          </a:extLst>
        </xdr:cNvPr>
        <xdr:cNvSpPr/>
      </xdr:nvSpPr>
      <xdr:spPr>
        <a:xfrm>
          <a:off x="9598398" y="2515135"/>
          <a:ext cx="880974" cy="446753"/>
        </a:xfrm>
        <a:prstGeom prst="wedgeRectCallout">
          <a:avLst>
            <a:gd name="adj1" fmla="val -98213"/>
            <a:gd name="adj2" fmla="val 11643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ea"/>
              <a:cs typeface="+mn-cs"/>
            </a:rPr>
            <a:t>JP1: Boot</a:t>
          </a:r>
          <a:r>
            <a:rPr lang="en-US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Mode</a:t>
          </a:r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22669</xdr:colOff>
      <xdr:row>54</xdr:row>
      <xdr:rowOff>38810</xdr:rowOff>
    </xdr:from>
    <xdr:to>
      <xdr:col>28</xdr:col>
      <xdr:colOff>106491</xdr:colOff>
      <xdr:row>55</xdr:row>
      <xdr:rowOff>150982</xdr:rowOff>
    </xdr:to>
    <xdr:sp macro="" textlink="">
      <xdr:nvSpPr>
        <xdr:cNvPr id="20" name="Speech Bubble: Rectangle 19">
          <a:extLst>
            <a:ext uri="{FF2B5EF4-FFF2-40B4-BE49-F238E27FC236}">
              <a16:creationId xmlns:a16="http://schemas.microsoft.com/office/drawing/2014/main" id="{D21E0FA1-E352-4F88-985F-1C8232411433}"/>
            </a:ext>
          </a:extLst>
        </xdr:cNvPr>
        <xdr:cNvSpPr/>
      </xdr:nvSpPr>
      <xdr:spPr>
        <a:xfrm>
          <a:off x="4725298" y="10031896"/>
          <a:ext cx="867593" cy="297229"/>
        </a:xfrm>
        <a:prstGeom prst="wedgeRectCallout">
          <a:avLst>
            <a:gd name="adj1" fmla="val 12780"/>
            <a:gd name="adj2" fmla="val 159602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</a:rPr>
            <a:t>CLK 50MHz</a:t>
          </a:r>
        </a:p>
      </xdr:txBody>
    </xdr:sp>
    <xdr:clientData/>
  </xdr:twoCellAnchor>
  <xdr:twoCellAnchor>
    <xdr:from>
      <xdr:col>20</xdr:col>
      <xdr:colOff>139709</xdr:colOff>
      <xdr:row>58</xdr:row>
      <xdr:rowOff>61029</xdr:rowOff>
    </xdr:from>
    <xdr:to>
      <xdr:col>26</xdr:col>
      <xdr:colOff>26277</xdr:colOff>
      <xdr:row>61</xdr:row>
      <xdr:rowOff>120869</xdr:rowOff>
    </xdr:to>
    <xdr:sp macro="" textlink="">
      <xdr:nvSpPr>
        <xdr:cNvPr id="22" name="Speech Bubble: Rectangle 21">
          <a:extLst>
            <a:ext uri="{FF2B5EF4-FFF2-40B4-BE49-F238E27FC236}">
              <a16:creationId xmlns:a16="http://schemas.microsoft.com/office/drawing/2014/main" id="{039DFF80-1A40-4AC5-BC83-12197554ADF9}"/>
            </a:ext>
          </a:extLst>
        </xdr:cNvPr>
        <xdr:cNvSpPr/>
      </xdr:nvSpPr>
      <xdr:spPr>
        <a:xfrm>
          <a:off x="3923433" y="10729029"/>
          <a:ext cx="1021685" cy="611633"/>
        </a:xfrm>
        <a:prstGeom prst="wedgeRectCallout">
          <a:avLst>
            <a:gd name="adj1" fmla="val 52550"/>
            <a:gd name="adj2" fmla="val 83322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</a:rPr>
            <a:t>IC nguồn 4 kênh</a:t>
          </a:r>
          <a:r>
            <a:rPr lang="en-US" sz="1100" b="1" baseline="0">
              <a:solidFill>
                <a:sysClr val="windowText" lastClr="000000"/>
              </a:solidFill>
            </a:rPr>
            <a:t> độc lập TPS65400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181751</xdr:colOff>
      <xdr:row>54</xdr:row>
      <xdr:rowOff>61029</xdr:rowOff>
    </xdr:from>
    <xdr:to>
      <xdr:col>21</xdr:col>
      <xdr:colOff>68319</xdr:colOff>
      <xdr:row>57</xdr:row>
      <xdr:rowOff>21021</xdr:rowOff>
    </xdr:to>
    <xdr:sp macro="" textlink="">
      <xdr:nvSpPr>
        <xdr:cNvPr id="23" name="Speech Bubble: Rectangle 22">
          <a:extLst>
            <a:ext uri="{FF2B5EF4-FFF2-40B4-BE49-F238E27FC236}">
              <a16:creationId xmlns:a16="http://schemas.microsoft.com/office/drawing/2014/main" id="{A0ED68FA-22B6-44D1-90FB-7DBE8050679B}"/>
            </a:ext>
          </a:extLst>
        </xdr:cNvPr>
        <xdr:cNvSpPr/>
      </xdr:nvSpPr>
      <xdr:spPr>
        <a:xfrm>
          <a:off x="3019544" y="9993305"/>
          <a:ext cx="1021685" cy="511785"/>
        </a:xfrm>
        <a:prstGeom prst="wedgeRectCallout">
          <a:avLst>
            <a:gd name="adj1" fmla="val -36435"/>
            <a:gd name="adj2" fmla="val 85040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Giao tiếp</a:t>
          </a:r>
          <a:r>
            <a:rPr lang="en-US" b="1" baseline="0"/>
            <a:t> USB</a:t>
          </a:r>
          <a:br>
            <a:rPr lang="en-US" b="1"/>
          </a:br>
          <a:r>
            <a:rPr lang="en-US" b="1"/>
            <a:t>FT2232HQ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59457</xdr:colOff>
      <xdr:row>49</xdr:row>
      <xdr:rowOff>138657</xdr:rowOff>
    </xdr:from>
    <xdr:to>
      <xdr:col>34</xdr:col>
      <xdr:colOff>120870</xdr:colOff>
      <xdr:row>52</xdr:row>
      <xdr:rowOff>47295</xdr:rowOff>
    </xdr:to>
    <xdr:sp macro="" textlink="">
      <xdr:nvSpPr>
        <xdr:cNvPr id="24" name="Speech Bubble: Rectangle 23">
          <a:extLst>
            <a:ext uri="{FF2B5EF4-FFF2-40B4-BE49-F238E27FC236}">
              <a16:creationId xmlns:a16="http://schemas.microsoft.com/office/drawing/2014/main" id="{EF68CF06-6FFE-DB55-1FF5-19EB80914DD8}"/>
            </a:ext>
          </a:extLst>
        </xdr:cNvPr>
        <xdr:cNvSpPr/>
      </xdr:nvSpPr>
      <xdr:spPr>
        <a:xfrm>
          <a:off x="5545857" y="9151278"/>
          <a:ext cx="1007344" cy="460431"/>
        </a:xfrm>
        <a:prstGeom prst="wedgeRectCallout">
          <a:avLst>
            <a:gd name="adj1" fmla="val 12780"/>
            <a:gd name="adj2" fmla="val 7171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</a:rPr>
            <a:t>RAM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br>
            <a:rPr lang="en-US" sz="1100" b="1" baseline="0">
              <a:solidFill>
                <a:sysClr val="windowText" lastClr="000000"/>
              </a:solidFill>
            </a:rPr>
          </a:br>
          <a:r>
            <a:rPr lang="en-US" sz="1100" b="1" baseline="0">
              <a:solidFill>
                <a:sysClr val="windowText" lastClr="000000"/>
              </a:solidFill>
            </a:rPr>
            <a:t>DDL 512MB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60881</xdr:colOff>
      <xdr:row>47</xdr:row>
      <xdr:rowOff>176641</xdr:rowOff>
    </xdr:from>
    <xdr:to>
      <xdr:col>22</xdr:col>
      <xdr:colOff>136635</xdr:colOff>
      <xdr:row>50</xdr:row>
      <xdr:rowOff>136633</xdr:rowOff>
    </xdr:to>
    <xdr:sp macro="" textlink="">
      <xdr:nvSpPr>
        <xdr:cNvPr id="25" name="Speech Bubble: Rectangle 24">
          <a:extLst>
            <a:ext uri="{FF2B5EF4-FFF2-40B4-BE49-F238E27FC236}">
              <a16:creationId xmlns:a16="http://schemas.microsoft.com/office/drawing/2014/main" id="{6842D58C-80B7-4642-9CFC-BD927611C8DC}"/>
            </a:ext>
          </a:extLst>
        </xdr:cNvPr>
        <xdr:cNvSpPr/>
      </xdr:nvSpPr>
      <xdr:spPr>
        <a:xfrm>
          <a:off x="3277047" y="8821400"/>
          <a:ext cx="1021685" cy="511785"/>
        </a:xfrm>
        <a:prstGeom prst="wedgeRectCallout">
          <a:avLst>
            <a:gd name="adj1" fmla="val -72440"/>
            <a:gd name="adj2" fmla="val -23804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Audio Codec</a:t>
          </a:r>
          <a:br>
            <a:rPr lang="en-US" b="1"/>
          </a:br>
          <a:r>
            <a:rPr lang="en-US" b="1"/>
            <a:t>ADAU</a:t>
          </a:r>
          <a:r>
            <a:rPr lang="en-US" b="1" baseline="0"/>
            <a:t> 1761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2056</xdr:colOff>
      <xdr:row>28</xdr:row>
      <xdr:rowOff>146003</xdr:rowOff>
    </xdr:from>
    <xdr:to>
      <xdr:col>12</xdr:col>
      <xdr:colOff>105741</xdr:colOff>
      <xdr:row>31</xdr:row>
      <xdr:rowOff>39986</xdr:rowOff>
    </xdr:to>
    <xdr:sp macro="" textlink="">
      <xdr:nvSpPr>
        <xdr:cNvPr id="26" name="Speech Bubble: Rectangle 25">
          <a:extLst>
            <a:ext uri="{FF2B5EF4-FFF2-40B4-BE49-F238E27FC236}">
              <a16:creationId xmlns:a16="http://schemas.microsoft.com/office/drawing/2014/main" id="{B85A35BF-42DE-4076-A55B-8982972B877F}"/>
            </a:ext>
          </a:extLst>
        </xdr:cNvPr>
        <xdr:cNvSpPr/>
      </xdr:nvSpPr>
      <xdr:spPr>
        <a:xfrm>
          <a:off x="1515546" y="5296072"/>
          <a:ext cx="860429" cy="445776"/>
        </a:xfrm>
        <a:prstGeom prst="wedgeRectCallout">
          <a:avLst>
            <a:gd name="adj1" fmla="val 179953"/>
            <a:gd name="adj2" fmla="val -166064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Led</a:t>
          </a:r>
          <a:r>
            <a:rPr lang="en-US" sz="1100" b="1" baseline="0">
              <a:solidFill>
                <a:schemeClr val="bg1"/>
              </a:solidFill>
            </a:rPr>
            <a:t> đỏ </a:t>
          </a:r>
          <a:br>
            <a:rPr lang="en-US" sz="1100" b="1" baseline="0">
              <a:solidFill>
                <a:schemeClr val="bg1"/>
              </a:solidFill>
            </a:rPr>
          </a:br>
          <a:r>
            <a:rPr lang="en-US" sz="1100" b="1" baseline="0">
              <a:solidFill>
                <a:schemeClr val="bg1"/>
              </a:solidFill>
            </a:rPr>
            <a:t>báo nguồn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17931</xdr:colOff>
      <xdr:row>0</xdr:row>
      <xdr:rowOff>152400</xdr:rowOff>
    </xdr:from>
    <xdr:to>
      <xdr:col>51</xdr:col>
      <xdr:colOff>9862</xdr:colOff>
      <xdr:row>26</xdr:row>
      <xdr:rowOff>152401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0F0CDAC-E434-4F13-A7AD-BBBA6499D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5" t="4935" r="2399" b="5018"/>
        <a:stretch>
          <a:fillRect/>
        </a:stretch>
      </xdr:blipFill>
      <xdr:spPr>
        <a:xfrm>
          <a:off x="1732431" y="1066800"/>
          <a:ext cx="7528111" cy="4754881"/>
        </a:xfrm>
        <a:prstGeom prst="rect">
          <a:avLst/>
        </a:prstGeom>
      </xdr:spPr>
    </xdr:pic>
    <xdr:clientData/>
  </xdr:twoCellAnchor>
  <xdr:twoCellAnchor>
    <xdr:from>
      <xdr:col>16</xdr:col>
      <xdr:colOff>182880</xdr:colOff>
      <xdr:row>28</xdr:row>
      <xdr:rowOff>76200</xdr:rowOff>
    </xdr:from>
    <xdr:to>
      <xdr:col>24</xdr:col>
      <xdr:colOff>182880</xdr:colOff>
      <xdr:row>32</xdr:row>
      <xdr:rowOff>160020</xdr:rowOff>
    </xdr:to>
    <xdr:sp macro="" textlink="">
      <xdr:nvSpPr>
        <xdr:cNvPr id="37" name="Speech Bubble: Rectangle 36">
          <a:extLst>
            <a:ext uri="{FF2B5EF4-FFF2-40B4-BE49-F238E27FC236}">
              <a16:creationId xmlns:a16="http://schemas.microsoft.com/office/drawing/2014/main" id="{DBDDA60A-3FF0-4E91-921E-4B1E3DFA22A2}"/>
            </a:ext>
          </a:extLst>
        </xdr:cNvPr>
        <xdr:cNvSpPr/>
      </xdr:nvSpPr>
      <xdr:spPr>
        <a:xfrm>
          <a:off x="3421380" y="6111240"/>
          <a:ext cx="1524000" cy="815340"/>
        </a:xfrm>
        <a:prstGeom prst="wedgeRectCallout">
          <a:avLst>
            <a:gd name="adj1" fmla="val 31353"/>
            <a:gd name="adj2" fmla="val -143137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PROG</a:t>
          </a:r>
          <a:br>
            <a:rPr lang="en-US" sz="1100" b="1"/>
          </a:br>
          <a:r>
            <a:rPr lang="en-US"/>
            <a:t>Xóa cấu hình hiện tại của vùng FPGA và buộc nó phải nạp lại từ đầu.</a:t>
          </a:r>
          <a:endParaRPr lang="en-US" sz="1100" b="1"/>
        </a:p>
      </xdr:txBody>
    </xdr:sp>
    <xdr:clientData/>
  </xdr:twoCellAnchor>
  <xdr:twoCellAnchor>
    <xdr:from>
      <xdr:col>25</xdr:col>
      <xdr:colOff>180133</xdr:colOff>
      <xdr:row>28</xdr:row>
      <xdr:rowOff>62948</xdr:rowOff>
    </xdr:from>
    <xdr:to>
      <xdr:col>30</xdr:col>
      <xdr:colOff>46383</xdr:colOff>
      <xdr:row>32</xdr:row>
      <xdr:rowOff>146767</xdr:rowOff>
    </xdr:to>
    <xdr:sp macro="" textlink="">
      <xdr:nvSpPr>
        <xdr:cNvPr id="38" name="Speech Bubble: Rectangle 37">
          <a:extLst>
            <a:ext uri="{FF2B5EF4-FFF2-40B4-BE49-F238E27FC236}">
              <a16:creationId xmlns:a16="http://schemas.microsoft.com/office/drawing/2014/main" id="{2DE5F7B4-610D-46E0-84F8-AE3139589DE2}"/>
            </a:ext>
          </a:extLst>
        </xdr:cNvPr>
        <xdr:cNvSpPr/>
      </xdr:nvSpPr>
      <xdr:spPr>
        <a:xfrm>
          <a:off x="5133133" y="6097988"/>
          <a:ext cx="818750" cy="815339"/>
        </a:xfrm>
        <a:prstGeom prst="wedgeRectCallout">
          <a:avLst>
            <a:gd name="adj1" fmla="val -39768"/>
            <a:gd name="adj2" fmla="val -123081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SRST</a:t>
          </a:r>
          <a:br>
            <a:rPr lang="en-US" sz="1100" b="1"/>
          </a:br>
          <a:r>
            <a:rPr lang="en-US"/>
            <a:t>Khởi</a:t>
          </a:r>
          <a:r>
            <a:rPr lang="en-US" baseline="0"/>
            <a:t> động lại toàn bộ Dev Kit</a:t>
          </a:r>
          <a:endParaRPr lang="en-US" sz="1100" b="1"/>
        </a:p>
      </xdr:txBody>
    </xdr:sp>
    <xdr:clientData/>
  </xdr:twoCellAnchor>
  <xdr:twoCellAnchor>
    <xdr:from>
      <xdr:col>20</xdr:col>
      <xdr:colOff>99390</xdr:colOff>
      <xdr:row>26</xdr:row>
      <xdr:rowOff>18883</xdr:rowOff>
    </xdr:from>
    <xdr:to>
      <xdr:col>25</xdr:col>
      <xdr:colOff>26894</xdr:colOff>
      <xdr:row>29</xdr:row>
      <xdr:rowOff>134470</xdr:rowOff>
    </xdr:to>
    <xdr:sp macro="" textlink="">
      <xdr:nvSpPr>
        <xdr:cNvPr id="39" name="Speech Bubble: Rectangle 38">
          <a:extLst>
            <a:ext uri="{FF2B5EF4-FFF2-40B4-BE49-F238E27FC236}">
              <a16:creationId xmlns:a16="http://schemas.microsoft.com/office/drawing/2014/main" id="{604142C3-4DD2-4A0E-A9FB-99D996459F11}"/>
            </a:ext>
          </a:extLst>
        </xdr:cNvPr>
        <xdr:cNvSpPr/>
      </xdr:nvSpPr>
      <xdr:spPr>
        <a:xfrm>
          <a:off x="3685272" y="4680530"/>
          <a:ext cx="823975" cy="653469"/>
        </a:xfrm>
        <a:prstGeom prst="wedgeRectCallout">
          <a:avLst>
            <a:gd name="adj1" fmla="val -6864"/>
            <a:gd name="adj2" fmla="val -112696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SW</a:t>
          </a:r>
          <a:r>
            <a:rPr lang="en-US" sz="1100" b="1" baseline="0"/>
            <a:t>0</a:t>
          </a:r>
          <a:br>
            <a:rPr lang="en-US" sz="1100" b="1" baseline="0"/>
          </a:br>
          <a:r>
            <a:rPr lang="en-US" sz="1100" b="1">
              <a:solidFill>
                <a:srgbClr val="FF0000"/>
              </a:solidFill>
            </a:rPr>
            <a:t>M20</a:t>
          </a:r>
          <a:br>
            <a:rPr lang="en-US" sz="1100" b="1"/>
          </a:br>
          <a:r>
            <a:rPr lang="en-US" sz="1100" b="1"/>
            <a:t>Reset</a:t>
          </a:r>
        </a:p>
      </xdr:txBody>
    </xdr:sp>
    <xdr:clientData/>
  </xdr:twoCellAnchor>
  <xdr:twoCellAnchor>
    <xdr:from>
      <xdr:col>21</xdr:col>
      <xdr:colOff>38430</xdr:colOff>
      <xdr:row>15</xdr:row>
      <xdr:rowOff>66592</xdr:rowOff>
    </xdr:from>
    <xdr:to>
      <xdr:col>26</xdr:col>
      <xdr:colOff>167640</xdr:colOff>
      <xdr:row>18</xdr:row>
      <xdr:rowOff>160020</xdr:rowOff>
    </xdr:to>
    <xdr:sp macro="" textlink="">
      <xdr:nvSpPr>
        <xdr:cNvPr id="41" name="Speech Bubble: Rectangle 40">
          <a:extLst>
            <a:ext uri="{FF2B5EF4-FFF2-40B4-BE49-F238E27FC236}">
              <a16:creationId xmlns:a16="http://schemas.microsoft.com/office/drawing/2014/main" id="{D56C32F7-51A8-4ED2-B333-001F7347BA2F}"/>
            </a:ext>
          </a:extLst>
        </xdr:cNvPr>
        <xdr:cNvSpPr/>
      </xdr:nvSpPr>
      <xdr:spPr>
        <a:xfrm>
          <a:off x="3718890" y="2809792"/>
          <a:ext cx="1005510" cy="642068"/>
        </a:xfrm>
        <a:prstGeom prst="wedgeRectCallout">
          <a:avLst>
            <a:gd name="adj1" fmla="val -36967"/>
            <a:gd name="adj2" fmla="val 84731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FF0000"/>
              </a:solidFill>
            </a:rPr>
            <a:t>R</a:t>
          </a:r>
          <a:r>
            <a:rPr lang="en-US" sz="1100" b="1">
              <a:solidFill>
                <a:srgbClr val="00B050"/>
              </a:solidFill>
            </a:rPr>
            <a:t>G</a:t>
          </a:r>
          <a:r>
            <a:rPr lang="en-US" sz="1100" b="1">
              <a:solidFill>
                <a:srgbClr val="0070C0"/>
              </a:solidFill>
            </a:rPr>
            <a:t>B</a:t>
          </a:r>
          <a:r>
            <a:rPr lang="en-US" sz="1100" b="1"/>
            <a:t>0</a:t>
          </a:r>
          <a:br>
            <a:rPr lang="en-US" sz="1100" b="1" baseline="0"/>
          </a:br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N15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G17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L15</a:t>
          </a:r>
        </a:p>
        <a:p>
          <a:pPr algn="l"/>
          <a:r>
            <a:rPr lang="en-US" sz="1100" b="1"/>
            <a:t>1Hz Clock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34</xdr:col>
      <xdr:colOff>161365</xdr:colOff>
      <xdr:row>27</xdr:row>
      <xdr:rowOff>73216</xdr:rowOff>
    </xdr:from>
    <xdr:to>
      <xdr:col>38</xdr:col>
      <xdr:colOff>0</xdr:colOff>
      <xdr:row>31</xdr:row>
      <xdr:rowOff>0</xdr:rowOff>
    </xdr:to>
    <xdr:sp macro="" textlink="">
      <xdr:nvSpPr>
        <xdr:cNvPr id="43" name="Speech Bubble: Rectangle 42">
          <a:extLst>
            <a:ext uri="{FF2B5EF4-FFF2-40B4-BE49-F238E27FC236}">
              <a16:creationId xmlns:a16="http://schemas.microsoft.com/office/drawing/2014/main" id="{A1C3CBDB-6D3E-4F10-87E5-D56BAFCAD9E2}"/>
            </a:ext>
          </a:extLst>
        </xdr:cNvPr>
        <xdr:cNvSpPr/>
      </xdr:nvSpPr>
      <xdr:spPr>
        <a:xfrm>
          <a:off x="6257365" y="4914157"/>
          <a:ext cx="555811" cy="643961"/>
        </a:xfrm>
        <a:prstGeom prst="wedgeRectCallout">
          <a:avLst>
            <a:gd name="adj1" fmla="val 36001"/>
            <a:gd name="adj2" fmla="val -114609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BTN3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L</a:t>
          </a:r>
          <a:r>
            <a:rPr lang="en-US" sz="1100" b="1">
              <a:solidFill>
                <a:srgbClr val="FF0000"/>
              </a:solidFill>
            </a:rPr>
            <a:t>19</a:t>
          </a:r>
          <a:br>
            <a:rPr lang="en-US" sz="1100" b="1">
              <a:solidFill>
                <a:srgbClr val="FF0000"/>
              </a:solidFill>
            </a:rPr>
          </a:br>
          <a:r>
            <a:rPr lang="en-US" b="0"/>
            <a:t>W=17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38</xdr:col>
      <xdr:colOff>50327</xdr:colOff>
      <xdr:row>27</xdr:row>
      <xdr:rowOff>64252</xdr:rowOff>
    </xdr:from>
    <xdr:to>
      <xdr:col>41</xdr:col>
      <xdr:colOff>71717</xdr:colOff>
      <xdr:row>30</xdr:row>
      <xdr:rowOff>170329</xdr:rowOff>
    </xdr:to>
    <xdr:sp macro="" textlink="">
      <xdr:nvSpPr>
        <xdr:cNvPr id="44" name="Speech Bubble: Rectangle 43">
          <a:extLst>
            <a:ext uri="{FF2B5EF4-FFF2-40B4-BE49-F238E27FC236}">
              <a16:creationId xmlns:a16="http://schemas.microsoft.com/office/drawing/2014/main" id="{18661814-3002-4545-AAF1-319948BDB749}"/>
            </a:ext>
          </a:extLst>
        </xdr:cNvPr>
        <xdr:cNvSpPr/>
      </xdr:nvSpPr>
      <xdr:spPr>
        <a:xfrm>
          <a:off x="6863503" y="4905193"/>
          <a:ext cx="559273" cy="643960"/>
        </a:xfrm>
        <a:prstGeom prst="wedgeRectCallout">
          <a:avLst>
            <a:gd name="adj1" fmla="val 17198"/>
            <a:gd name="adj2" fmla="val -12030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BTN2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L20</a:t>
          </a:r>
          <a:br>
            <a:rPr lang="en-US"/>
          </a:br>
          <a:r>
            <a:rPr lang="en-US"/>
            <a:t>W=14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41</xdr:col>
      <xdr:colOff>137893</xdr:colOff>
      <xdr:row>27</xdr:row>
      <xdr:rowOff>73216</xdr:rowOff>
    </xdr:from>
    <xdr:to>
      <xdr:col>45</xdr:col>
      <xdr:colOff>62752</xdr:colOff>
      <xdr:row>30</xdr:row>
      <xdr:rowOff>170328</xdr:rowOff>
    </xdr:to>
    <xdr:sp macro="" textlink="">
      <xdr:nvSpPr>
        <xdr:cNvPr id="45" name="Speech Bubble: Rectangle 44">
          <a:extLst>
            <a:ext uri="{FF2B5EF4-FFF2-40B4-BE49-F238E27FC236}">
              <a16:creationId xmlns:a16="http://schemas.microsoft.com/office/drawing/2014/main" id="{BCAB971E-C6A5-454C-91E1-18C97C98BD3F}"/>
            </a:ext>
          </a:extLst>
        </xdr:cNvPr>
        <xdr:cNvSpPr/>
      </xdr:nvSpPr>
      <xdr:spPr>
        <a:xfrm>
          <a:off x="7488952" y="4914157"/>
          <a:ext cx="642035" cy="634995"/>
        </a:xfrm>
        <a:prstGeom prst="wedgeRectCallout">
          <a:avLst>
            <a:gd name="adj1" fmla="val 17198"/>
            <a:gd name="adj2" fmla="val -12030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BTN1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D20</a:t>
          </a:r>
        </a:p>
        <a:p>
          <a:pPr algn="l"/>
          <a:r>
            <a:rPr lang="en-US"/>
            <a:t>W=20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45</xdr:col>
      <xdr:colOff>126850</xdr:colOff>
      <xdr:row>27</xdr:row>
      <xdr:rowOff>73217</xdr:rowOff>
    </xdr:from>
    <xdr:to>
      <xdr:col>49</xdr:col>
      <xdr:colOff>35859</xdr:colOff>
      <xdr:row>31</xdr:row>
      <xdr:rowOff>0</xdr:rowOff>
    </xdr:to>
    <xdr:sp macro="" textlink="">
      <xdr:nvSpPr>
        <xdr:cNvPr id="46" name="Speech Bubble: Rectangle 45">
          <a:extLst>
            <a:ext uri="{FF2B5EF4-FFF2-40B4-BE49-F238E27FC236}">
              <a16:creationId xmlns:a16="http://schemas.microsoft.com/office/drawing/2014/main" id="{BA3B77E4-2EF6-427A-A48E-4024BB4B9373}"/>
            </a:ext>
          </a:extLst>
        </xdr:cNvPr>
        <xdr:cNvSpPr/>
      </xdr:nvSpPr>
      <xdr:spPr>
        <a:xfrm>
          <a:off x="8195085" y="4914158"/>
          <a:ext cx="626186" cy="643960"/>
        </a:xfrm>
        <a:prstGeom prst="wedgeRectCallout">
          <a:avLst>
            <a:gd name="adj1" fmla="val -22888"/>
            <a:gd name="adj2" fmla="val -96641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BTN0</a:t>
          </a:r>
          <a:br>
            <a:rPr lang="en-US" sz="1100" b="1" baseline="0"/>
          </a:br>
          <a:r>
            <a:rPr lang="en-US" sz="1100" b="1" baseline="0">
              <a:solidFill>
                <a:srgbClr val="FF0000"/>
              </a:solidFill>
            </a:rPr>
            <a:t>D19</a:t>
          </a:r>
        </a:p>
        <a:p>
          <a:pPr algn="l"/>
          <a:r>
            <a:rPr lang="en-US"/>
            <a:t>W=24</a:t>
          </a:r>
          <a:br>
            <a:rPr lang="en-US" sz="1100" b="1"/>
          </a:br>
          <a:endParaRPr lang="en-US" sz="1100" b="1"/>
        </a:p>
      </xdr:txBody>
    </xdr:sp>
    <xdr:clientData/>
  </xdr:twoCellAnchor>
  <xdr:twoCellAnchor>
    <xdr:from>
      <xdr:col>3</xdr:col>
      <xdr:colOff>79513</xdr:colOff>
      <xdr:row>20</xdr:row>
      <xdr:rowOff>106018</xdr:rowOff>
    </xdr:from>
    <xdr:to>
      <xdr:col>7</xdr:col>
      <xdr:colOff>183197</xdr:colOff>
      <xdr:row>23</xdr:row>
      <xdr:rowOff>1</xdr:rowOff>
    </xdr:to>
    <xdr:sp macro="" textlink="">
      <xdr:nvSpPr>
        <xdr:cNvPr id="47" name="Speech Bubble: Rectangle 46">
          <a:extLst>
            <a:ext uri="{FF2B5EF4-FFF2-40B4-BE49-F238E27FC236}">
              <a16:creationId xmlns:a16="http://schemas.microsoft.com/office/drawing/2014/main" id="{70394968-A5B2-46B9-8763-C606243F6CCD}"/>
            </a:ext>
          </a:extLst>
        </xdr:cNvPr>
        <xdr:cNvSpPr/>
      </xdr:nvSpPr>
      <xdr:spPr>
        <a:xfrm>
          <a:off x="841513" y="4678018"/>
          <a:ext cx="865684" cy="442623"/>
        </a:xfrm>
        <a:prstGeom prst="wedgeRectCallout">
          <a:avLst>
            <a:gd name="adj1" fmla="val 127427"/>
            <a:gd name="adj2" fmla="val 13126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DC1 Power</a:t>
          </a:r>
        </a:p>
        <a:p>
          <a:pPr algn="l"/>
          <a:r>
            <a:rPr lang="en-US" sz="1100" b="1">
              <a:solidFill>
                <a:schemeClr val="bg1"/>
              </a:solidFill>
            </a:rPr>
            <a:t>7v ~ 15v</a:t>
          </a:r>
        </a:p>
      </xdr:txBody>
    </xdr:sp>
    <xdr:clientData/>
  </xdr:twoCellAnchor>
  <xdr:twoCellAnchor>
    <xdr:from>
      <xdr:col>3</xdr:col>
      <xdr:colOff>68180</xdr:colOff>
      <xdr:row>17</xdr:row>
      <xdr:rowOff>120141</xdr:rowOff>
    </xdr:from>
    <xdr:to>
      <xdr:col>7</xdr:col>
      <xdr:colOff>181803</xdr:colOff>
      <xdr:row>20</xdr:row>
      <xdr:rowOff>14125</xdr:rowOff>
    </xdr:to>
    <xdr:sp macro="" textlink="">
      <xdr:nvSpPr>
        <xdr:cNvPr id="50" name="Speech Bubble: Rectangle 49">
          <a:extLst>
            <a:ext uri="{FF2B5EF4-FFF2-40B4-BE49-F238E27FC236}">
              <a16:creationId xmlns:a16="http://schemas.microsoft.com/office/drawing/2014/main" id="{D6600D9C-FE63-403D-A7D9-D5A05297A00A}"/>
            </a:ext>
          </a:extLst>
        </xdr:cNvPr>
        <xdr:cNvSpPr/>
      </xdr:nvSpPr>
      <xdr:spPr>
        <a:xfrm>
          <a:off x="830180" y="4143501"/>
          <a:ext cx="875623" cy="442624"/>
        </a:xfrm>
        <a:prstGeom prst="wedgeRectCallout">
          <a:avLst>
            <a:gd name="adj1" fmla="val 127427"/>
            <a:gd name="adj2" fmla="val 13126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Micro</a:t>
          </a:r>
          <a:r>
            <a:rPr lang="en-US" sz="1100" b="1" baseline="0">
              <a:solidFill>
                <a:schemeClr val="bg1"/>
              </a:solidFill>
            </a:rPr>
            <a:t> USB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2056</xdr:colOff>
      <xdr:row>23</xdr:row>
      <xdr:rowOff>146003</xdr:rowOff>
    </xdr:from>
    <xdr:to>
      <xdr:col>11</xdr:col>
      <xdr:colOff>105741</xdr:colOff>
      <xdr:row>26</xdr:row>
      <xdr:rowOff>39986</xdr:rowOff>
    </xdr:to>
    <xdr:sp macro="" textlink="">
      <xdr:nvSpPr>
        <xdr:cNvPr id="52" name="Speech Bubble: Rectangle 51">
          <a:extLst>
            <a:ext uri="{FF2B5EF4-FFF2-40B4-BE49-F238E27FC236}">
              <a16:creationId xmlns:a16="http://schemas.microsoft.com/office/drawing/2014/main" id="{6F215293-B251-4C88-BFE9-DD2CA9D45EDE}"/>
            </a:ext>
          </a:extLst>
        </xdr:cNvPr>
        <xdr:cNvSpPr/>
      </xdr:nvSpPr>
      <xdr:spPr>
        <a:xfrm>
          <a:off x="1526056" y="5266643"/>
          <a:ext cx="865685" cy="442623"/>
        </a:xfrm>
        <a:prstGeom prst="wedgeRectCallout">
          <a:avLst>
            <a:gd name="adj1" fmla="val 179953"/>
            <a:gd name="adj2" fmla="val -166064"/>
          </a:avLst>
        </a:prstGeom>
        <a:solidFill>
          <a:srgbClr val="FF0000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Led</a:t>
          </a:r>
          <a:r>
            <a:rPr lang="en-US" sz="1100" b="1" baseline="0">
              <a:solidFill>
                <a:schemeClr val="bg1"/>
              </a:solidFill>
            </a:rPr>
            <a:t> đỏ </a:t>
          </a:r>
          <a:br>
            <a:rPr lang="en-US" sz="1100" b="1" baseline="0">
              <a:solidFill>
                <a:schemeClr val="bg1"/>
              </a:solidFill>
            </a:rPr>
          </a:br>
          <a:r>
            <a:rPr lang="en-US" sz="1100" b="1" baseline="0">
              <a:solidFill>
                <a:schemeClr val="bg1"/>
              </a:solidFill>
            </a:rPr>
            <a:t>báo nguồn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36</xdr:col>
      <xdr:colOff>127303</xdr:colOff>
      <xdr:row>10</xdr:row>
      <xdr:rowOff>174094</xdr:rowOff>
    </xdr:from>
    <xdr:to>
      <xdr:col>56</xdr:col>
      <xdr:colOff>89989</xdr:colOff>
      <xdr:row>22</xdr:row>
      <xdr:rowOff>40756</xdr:rowOff>
    </xdr:to>
    <xdr:pic>
      <xdr:nvPicPr>
        <xdr:cNvPr id="53" name="Picture 52" descr="Finger Touch Png, Transparent Png - kindpng">
          <a:extLst>
            <a:ext uri="{FF2B5EF4-FFF2-40B4-BE49-F238E27FC236}">
              <a16:creationId xmlns:a16="http://schemas.microsoft.com/office/drawing/2014/main" id="{A2D9E825-A43A-4180-A588-B61AEB95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9302" r="90000">
                      <a14:foregroundMark x1="9302" y1="88824" x2="9302" y2="888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506851">
          <a:off x="6581891" y="1967035"/>
          <a:ext cx="3548569" cy="2018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106113</xdr:colOff>
      <xdr:row>11</xdr:row>
      <xdr:rowOff>12804</xdr:rowOff>
    </xdr:from>
    <xdr:to>
      <xdr:col>41</xdr:col>
      <xdr:colOff>53788</xdr:colOff>
      <xdr:row>14</xdr:row>
      <xdr:rowOff>134470</xdr:rowOff>
    </xdr:to>
    <xdr:sp macro="" textlink="">
      <xdr:nvSpPr>
        <xdr:cNvPr id="59" name="Speech Bubble: Rectangle 58">
          <a:extLst>
            <a:ext uri="{FF2B5EF4-FFF2-40B4-BE49-F238E27FC236}">
              <a16:creationId xmlns:a16="http://schemas.microsoft.com/office/drawing/2014/main" id="{5B7DF135-E33A-49FC-9235-8F033D00B679}"/>
            </a:ext>
          </a:extLst>
        </xdr:cNvPr>
        <xdr:cNvSpPr/>
      </xdr:nvSpPr>
      <xdr:spPr>
        <a:xfrm>
          <a:off x="5484937" y="1985039"/>
          <a:ext cx="1919910" cy="659549"/>
        </a:xfrm>
        <a:prstGeom prst="wedgeRectCallout">
          <a:avLst>
            <a:gd name="adj1" fmla="val -14410"/>
            <a:gd name="adj2" fmla="val 39079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SNN Leak Intergrate</a:t>
          </a:r>
          <a:r>
            <a:rPr lang="en-US" b="1" baseline="0"/>
            <a:t> and Fire</a:t>
          </a:r>
          <a:br>
            <a:rPr lang="en-US"/>
          </a:br>
          <a:r>
            <a:rPr lang="en-US"/>
            <a:t>LEAK = 10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THRESHOLD=100</a:t>
          </a:r>
        </a:p>
      </xdr:txBody>
    </xdr:sp>
    <xdr:clientData/>
  </xdr:twoCellAnchor>
  <xdr:twoCellAnchor editAs="oneCell">
    <xdr:from>
      <xdr:col>2</xdr:col>
      <xdr:colOff>152401</xdr:colOff>
      <xdr:row>1</xdr:row>
      <xdr:rowOff>116542</xdr:rowOff>
    </xdr:from>
    <xdr:to>
      <xdr:col>27</xdr:col>
      <xdr:colOff>89647</xdr:colOff>
      <xdr:row>14</xdr:row>
      <xdr:rowOff>40770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A37EE8-A14F-45BB-433B-7F9815F7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0744" y="301599"/>
          <a:ext cx="4291532" cy="2329971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179934</xdr:colOff>
      <xdr:row>2</xdr:row>
      <xdr:rowOff>155142</xdr:rowOff>
    </xdr:from>
    <xdr:to>
      <xdr:col>22</xdr:col>
      <xdr:colOff>13252</xdr:colOff>
      <xdr:row>13</xdr:row>
      <xdr:rowOff>164122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6579A8-4606-318E-02B5-EB4AC0E3DE54}"/>
            </a:ext>
          </a:extLst>
        </xdr:cNvPr>
        <xdr:cNvSpPr txBox="1"/>
      </xdr:nvSpPr>
      <xdr:spPr>
        <a:xfrm>
          <a:off x="3855119" y="518557"/>
          <a:ext cx="2347918" cy="200776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solidFill>
                <a:srgbClr val="CC00CC"/>
              </a:solidFill>
            </a:rPr>
            <a:t>from</a:t>
          </a:r>
          <a:r>
            <a:rPr lang="en-US"/>
            <a:t> pynq </a:t>
          </a:r>
          <a:r>
            <a:rPr lang="en-US" sz="1100">
              <a:solidFill>
                <a:srgbClr val="CC00CC"/>
              </a:solidFill>
              <a:latin typeface="+mn-lt"/>
              <a:ea typeface="+mn-ea"/>
              <a:cs typeface="+mn-cs"/>
            </a:rPr>
            <a:t>import</a:t>
          </a:r>
          <a:r>
            <a:rPr lang="en-US"/>
            <a:t> Overlay</a:t>
          </a:r>
        </a:p>
        <a:p>
          <a:r>
            <a:rPr lang="en-US"/>
            <a:t>ol = Overlay("tenfile.bit")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# PYNQ sẽ tự đọc file .hwh để biết </a:t>
          </a:r>
          <a:b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# địa chỉ  0x4120_0000 nằm ở đây</a:t>
          </a:r>
          <a:b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leds = ol.axi_gpio_0 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leds.write(0, 7)</a:t>
          </a:r>
          <a:endParaRPr lang="en-US">
            <a:effectLst/>
          </a:endParaRPr>
        </a:p>
        <a:p>
          <a:endParaRPr lang="en-US" sz="1100"/>
        </a:p>
        <a:p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# liệt kê toàn bộ địa chỉ và tên IP</a:t>
          </a:r>
        </a:p>
        <a:p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# có trong file .hwh.</a:t>
          </a:r>
        </a:p>
        <a:p>
          <a:r>
            <a:rPr lang="en-US"/>
            <a:t>help(ol)</a:t>
          </a:r>
          <a:endParaRPr lang="en-US" sz="1100"/>
        </a:p>
      </xdr:txBody>
    </xdr:sp>
    <xdr:clientData/>
  </xdr:twoCellAnchor>
  <xdr:twoCellAnchor>
    <xdr:from>
      <xdr:col>4</xdr:col>
      <xdr:colOff>91747</xdr:colOff>
      <xdr:row>3</xdr:row>
      <xdr:rowOff>19880</xdr:rowOff>
    </xdr:from>
    <xdr:to>
      <xdr:col>23</xdr:col>
      <xdr:colOff>53010</xdr:colOff>
      <xdr:row>8</xdr:row>
      <xdr:rowOff>44344</xdr:rowOff>
    </xdr:to>
    <xdr:sp macro="" textlink="">
      <xdr:nvSpPr>
        <xdr:cNvPr id="14" name="Freeform: Shape 13">
          <a:extLst>
            <a:ext uri="{FF2B5EF4-FFF2-40B4-BE49-F238E27FC236}">
              <a16:creationId xmlns:a16="http://schemas.microsoft.com/office/drawing/2014/main" id="{306BEA91-BFF8-BEC2-43BC-E7F3512AB510}"/>
            </a:ext>
          </a:extLst>
        </xdr:cNvPr>
        <xdr:cNvSpPr/>
      </xdr:nvSpPr>
      <xdr:spPr>
        <a:xfrm>
          <a:off x="865470" y="565003"/>
          <a:ext cx="3636448" cy="933003"/>
        </a:xfrm>
        <a:custGeom>
          <a:avLst/>
          <a:gdLst>
            <a:gd name="csX0" fmla="*/ 3518452 w 3518452"/>
            <a:gd name="csY0" fmla="*/ 0 h 430695"/>
            <a:gd name="csX1" fmla="*/ 2590800 w 3518452"/>
            <a:gd name="csY1" fmla="*/ 172278 h 430695"/>
            <a:gd name="csX2" fmla="*/ 834887 w 3518452"/>
            <a:gd name="csY2" fmla="*/ 178904 h 430695"/>
            <a:gd name="csX3" fmla="*/ 0 w 3518452"/>
            <a:gd name="csY3" fmla="*/ 430695 h 430695"/>
            <a:gd name="csX0" fmla="*/ 3652347 w 3652347"/>
            <a:gd name="csY0" fmla="*/ 0 h 520207"/>
            <a:gd name="csX1" fmla="*/ 2724695 w 3652347"/>
            <a:gd name="csY1" fmla="*/ 172278 h 520207"/>
            <a:gd name="csX2" fmla="*/ 968782 w 3652347"/>
            <a:gd name="csY2" fmla="*/ 178904 h 520207"/>
            <a:gd name="csX3" fmla="*/ 0 w 3652347"/>
            <a:gd name="csY3" fmla="*/ 520207 h 520207"/>
            <a:gd name="csX0" fmla="*/ 3611596 w 3611596"/>
            <a:gd name="csY0" fmla="*/ 0 h 949866"/>
            <a:gd name="csX1" fmla="*/ 2683944 w 3611596"/>
            <a:gd name="csY1" fmla="*/ 172278 h 949866"/>
            <a:gd name="csX2" fmla="*/ 928031 w 3611596"/>
            <a:gd name="csY2" fmla="*/ 178904 h 949866"/>
            <a:gd name="csX3" fmla="*/ 0 w 3611596"/>
            <a:gd name="csY3" fmla="*/ 949866 h 949866"/>
            <a:gd name="csX0" fmla="*/ 3611596 w 3611596"/>
            <a:gd name="csY0" fmla="*/ 0 h 949866"/>
            <a:gd name="csX1" fmla="*/ 2683944 w 3611596"/>
            <a:gd name="csY1" fmla="*/ 172278 h 949866"/>
            <a:gd name="csX2" fmla="*/ 928031 w 3611596"/>
            <a:gd name="csY2" fmla="*/ 178904 h 949866"/>
            <a:gd name="csX3" fmla="*/ 0 w 3611596"/>
            <a:gd name="csY3" fmla="*/ 949866 h 94986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3611596" h="949866">
              <a:moveTo>
                <a:pt x="3611596" y="0"/>
              </a:moveTo>
              <a:cubicBezTo>
                <a:pt x="3371400" y="71230"/>
                <a:pt x="3131205" y="142461"/>
                <a:pt x="2683944" y="172278"/>
              </a:cubicBezTo>
              <a:cubicBezTo>
                <a:pt x="2236683" y="202095"/>
                <a:pt x="1382147" y="120916"/>
                <a:pt x="928031" y="178904"/>
              </a:cubicBezTo>
              <a:cubicBezTo>
                <a:pt x="473915" y="236892"/>
                <a:pt x="120043" y="684384"/>
                <a:pt x="0" y="949866"/>
              </a:cubicBezTo>
            </a:path>
          </a:pathLst>
        </a:custGeom>
        <a:noFill/>
        <a:ln w="28575">
          <a:headEnd type="oval" w="med" len="med"/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178904</xdr:colOff>
      <xdr:row>3</xdr:row>
      <xdr:rowOff>144378</xdr:rowOff>
    </xdr:from>
    <xdr:to>
      <xdr:col>25</xdr:col>
      <xdr:colOff>4011</xdr:colOff>
      <xdr:row>9</xdr:row>
      <xdr:rowOff>46382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6C118B9F-FF66-3E33-EB3C-06F6B0037005}"/>
            </a:ext>
          </a:extLst>
        </xdr:cNvPr>
        <xdr:cNvSpPr/>
      </xdr:nvSpPr>
      <xdr:spPr>
        <a:xfrm>
          <a:off x="5184041" y="697831"/>
          <a:ext cx="1557654" cy="1008909"/>
        </a:xfrm>
        <a:custGeom>
          <a:avLst/>
          <a:gdLst>
            <a:gd name="csX0" fmla="*/ 1371600 w 1371600"/>
            <a:gd name="csY0" fmla="*/ 657317 h 1035004"/>
            <a:gd name="csX1" fmla="*/ 1060174 w 1371600"/>
            <a:gd name="csY1" fmla="*/ 153734 h 1035004"/>
            <a:gd name="csX2" fmla="*/ 781878 w 1371600"/>
            <a:gd name="csY2" fmla="*/ 7960 h 1035004"/>
            <a:gd name="csX3" fmla="*/ 576469 w 1371600"/>
            <a:gd name="csY3" fmla="*/ 27838 h 1035004"/>
            <a:gd name="csX4" fmla="*/ 291548 w 1371600"/>
            <a:gd name="csY4" fmla="*/ 100725 h 1035004"/>
            <a:gd name="csX5" fmla="*/ 543339 w 1371600"/>
            <a:gd name="csY5" fmla="*/ 836221 h 1035004"/>
            <a:gd name="csX6" fmla="*/ 0 w 1371600"/>
            <a:gd name="csY6" fmla="*/ 1035004 h 1035004"/>
            <a:gd name="csX0" fmla="*/ 1371600 w 1371600"/>
            <a:gd name="csY0" fmla="*/ 657317 h 1035004"/>
            <a:gd name="csX1" fmla="*/ 1060174 w 1371600"/>
            <a:gd name="csY1" fmla="*/ 153734 h 1035004"/>
            <a:gd name="csX2" fmla="*/ 781878 w 1371600"/>
            <a:gd name="csY2" fmla="*/ 7960 h 1035004"/>
            <a:gd name="csX3" fmla="*/ 576469 w 1371600"/>
            <a:gd name="csY3" fmla="*/ 27838 h 1035004"/>
            <a:gd name="csX4" fmla="*/ 291548 w 1371600"/>
            <a:gd name="csY4" fmla="*/ 100725 h 1035004"/>
            <a:gd name="csX5" fmla="*/ 543339 w 1371600"/>
            <a:gd name="csY5" fmla="*/ 836221 h 1035004"/>
            <a:gd name="csX6" fmla="*/ 0 w 1371600"/>
            <a:gd name="csY6" fmla="*/ 1035004 h 10350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371600" h="1035004">
              <a:moveTo>
                <a:pt x="1371600" y="657317"/>
              </a:moveTo>
              <a:cubicBezTo>
                <a:pt x="1265030" y="459638"/>
                <a:pt x="1158461" y="261960"/>
                <a:pt x="1060174" y="153734"/>
              </a:cubicBezTo>
              <a:cubicBezTo>
                <a:pt x="961887" y="45508"/>
                <a:pt x="862495" y="28943"/>
                <a:pt x="781878" y="7960"/>
              </a:cubicBezTo>
              <a:cubicBezTo>
                <a:pt x="701260" y="-13023"/>
                <a:pt x="658191" y="12377"/>
                <a:pt x="576469" y="27838"/>
              </a:cubicBezTo>
              <a:cubicBezTo>
                <a:pt x="494747" y="43299"/>
                <a:pt x="409136" y="22483"/>
                <a:pt x="291548" y="100725"/>
              </a:cubicBezTo>
              <a:cubicBezTo>
                <a:pt x="173960" y="178967"/>
                <a:pt x="591930" y="680508"/>
                <a:pt x="543339" y="836221"/>
              </a:cubicBezTo>
              <a:cubicBezTo>
                <a:pt x="494748" y="991934"/>
                <a:pt x="247374" y="1013469"/>
                <a:pt x="0" y="1035004"/>
              </a:cubicBezTo>
            </a:path>
          </a:pathLst>
        </a:custGeom>
        <a:noFill/>
        <a:ln w="28575">
          <a:headEnd type="oval" w="med" len="med"/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187569</xdr:colOff>
      <xdr:row>3</xdr:row>
      <xdr:rowOff>58615</xdr:rowOff>
    </xdr:from>
    <xdr:to>
      <xdr:col>3</xdr:col>
      <xdr:colOff>178676</xdr:colOff>
      <xdr:row>8</xdr:row>
      <xdr:rowOff>35169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A3D41936-83F4-A837-F449-ED555025E7AA}"/>
            </a:ext>
          </a:extLst>
        </xdr:cNvPr>
        <xdr:cNvSpPr/>
      </xdr:nvSpPr>
      <xdr:spPr>
        <a:xfrm>
          <a:off x="574431" y="603738"/>
          <a:ext cx="184537" cy="885093"/>
        </a:xfrm>
        <a:custGeom>
          <a:avLst/>
          <a:gdLst>
            <a:gd name="csX0" fmla="*/ 0 w 184537"/>
            <a:gd name="csY0" fmla="*/ 0 h 885093"/>
            <a:gd name="csX1" fmla="*/ 169984 w 184537"/>
            <a:gd name="csY1" fmla="*/ 422031 h 885093"/>
            <a:gd name="csX2" fmla="*/ 164123 w 184537"/>
            <a:gd name="csY2" fmla="*/ 885093 h 88509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84537" h="885093">
              <a:moveTo>
                <a:pt x="0" y="0"/>
              </a:moveTo>
              <a:cubicBezTo>
                <a:pt x="71315" y="137258"/>
                <a:pt x="142630" y="274516"/>
                <a:pt x="169984" y="422031"/>
              </a:cubicBezTo>
              <a:cubicBezTo>
                <a:pt x="197338" y="569546"/>
                <a:pt x="180730" y="727319"/>
                <a:pt x="164123" y="885093"/>
              </a:cubicBezTo>
            </a:path>
          </a:pathLst>
        </a:custGeom>
        <a:noFill/>
        <a:ln w="28575">
          <a:headEnd type="oval" w="med" len="med"/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69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24575,'0'3'0,"0"0"0,0 1 0,1-1 0,-1 0 0,1 1 0,0-1 0,-1 0 0,2 0 0,-1 1 0,0-1 0,1 0 0,-1 0 0,1 0 0,3 4 0,1-1 0,0-1 0,0 0 0,0 0 0,13 8 0,-4-3 0,19 19 0,-29-24 0,0 1 0,0-2 0,1 1 0,0-1 0,-1 0 0,13 6 0,-15-9 0,-1 0 0,0-1 0,1 1 0,-1-1 0,1 1 0,-1-1 0,1 0 0,-1 0 0,1-1 0,0 1 0,-1 0 0,0-1 0,1 1 0,-1-1 0,1 0 0,-1 0 0,0 0 0,1 0 0,-1 0 0,0-1 0,0 1 0,0-1 0,0 1 0,2-3 0,35-31 0,-18 17 0,36-27 0,-55 44-105,0-1 0,0 1 0,0-1 0,0 0 0,-1 1 0,1-1 0,0 0 0,-1 0 0,1 0 0,-1 0 0,0 0 0,2-3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69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 24575,'5'1'0,"1"0"0,-1 1 0,0-1 0,0 1 0,0 0 0,-1 1 0,1-1 0,8 7 0,20 8 0,-27-15 0,0 1 0,0 0 0,0 0 0,-1 0 0,1 1 0,-1-1 0,0 1 0,0 1 0,8 8 0,4 3 0,-15-14 0,0-1 0,0 0 0,0 0 0,0 0 0,0 0 0,0 0 0,0 0 0,1-1 0,-1 1 0,0-1 0,0 0 0,0 1 0,1-1 0,-1 0 0,0 0 0,1 0 0,-1-1 0,0 1 0,0 0 0,0-1 0,1 0 0,-1 1 0,0-1 0,3-2 0,56-32 0,-35 19 0,-11 7-120,1 0-191,0 1 0,0 0-1,21-6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69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562 56 24575,'9'1'0,"0"1"0,-1 0 0,0 0 0,1 1 0,-1 0 0,15 7 0,17 7 0,-38-16 0,1-1 0,-1 1 0,0 0 0,0 0 0,0 0 0,0 0 0,0 0 0,0 1 0,-1-1 0,1 1 0,0-1 0,-1 1 0,1-1 0,-1 1 0,1 0 0,-1 0 0,0 0 0,0 0 0,0 0 0,1 3 0,-1-4 0,-1 0 0,0 1 0,0-1 0,0 0 0,0 1 0,0-1 0,0 0 0,0 1 0,-1-1 0,1 0 0,0 1 0,-1-1 0,1 0 0,-1 1 0,1-1 0,-1 0 0,0 0 0,0 0 0,1 0 0,-1 0 0,0 0 0,0 0 0,0 0 0,0 0 0,0 0 0,0 0 0,0 0 0,-1-1 0,1 1 0,0 0 0,0-1 0,-1 1 0,1-1 0,-3 1 0,-5 3-91,1 0 0,-1 1 0,1 0 0,0 1 0,0-1 0,0 1 0,1 1 0,0 0 0,0 0 0,1 0 0,0 1 0,0 0 0,1 0 0,-8 15 0</inkml:trace>
  <inkml:trace contextRef="#ctx0" brushRef="#br0" timeOffset="1">311 0 24575,'-18'3'0,"0"0"0,0 1 0,0 0 0,0 2 0,1 0 0,-27 13 0,15-6 0,21-9 0,-1 1 0,1 0 0,0 0 0,1 1 0,-1-1 0,1 2 0,0-1 0,1 1 0,-1 0 0,-6 11 0,-1-1 0,0-3 0,-1 3 0,15-16 0,1 0 0,-1 0 0,0 0 0,0 0 0,1-1 0,-1 1 0,1 0 0,-1 0 0,0 0 0,1 0 0,0 0 0,-1 0 0,1-1 0,0 1 0,-1 0 0,1-1 0,0 1 0,0 0 0,-1-1 0,1 1 0,0-1 0,0 1 0,0-1 0,0 1 0,1-1 0,67 47 43,-46-31-513,0 0 1,40 19 0</inkml:trace>
  <inkml:trace contextRef="#ctx0" brushRef="#br0" timeOffset="2">228 334 24575,'3'0'0</inkml:trace>
  <inkml:trace contextRef="#ctx0" brushRef="#br0" timeOffset="3">270 349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702"/>
    </inkml:context>
    <inkml:brush xml:id="br0">
      <inkml:brushProperty name="width" value="0.05" units="cm"/>
      <inkml:brushProperty name="height" value="0.05" units="cm"/>
      <inkml:brushProperty name="color" value="#CC9900"/>
    </inkml:brush>
  </inkml:definitions>
  <inkml:trace contextRef="#ctx0" brushRef="#br0">43 0 24575,'8'2'0,"-1"0"0,1 1 0,-1 0 0,1 0 0,-1 0 0,0 1 0,0 0 0,12 9 0,12 6 0,-9-8 0,-12-7 0,-1 0 0,0 1 0,-1 0 0,16 12 0,-23-16 0,-1 0 0,1-1 0,-1 1 0,0 0 0,1 0 0,-1 0 0,0-1 0,1 1 0,-1 0 0,0 0 0,0 0 0,0 0 0,0-1 0,0 1 0,0 0 0,0 0 0,0 0 0,0 0 0,0 0 0,-1-1 0,1 1 0,0 0 0,0 0 0,-1 0 0,1 0 0,-1-1 0,1 1 0,-1 0 0,1-1 0,-1 1 0,1 0 0,-1-1 0,1 1 0,-1-1 0,0 1 0,1 0 0,-1-1 0,0 0 0,0 1 0,-1 0 0,-41 26 0,28-18 0,-105 89-3,73-58-1359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703"/>
    </inkml:context>
    <inkml:brush xml:id="br0">
      <inkml:brushProperty name="width" value="0.05" units="cm"/>
      <inkml:brushProperty name="height" value="0.05" units="cm"/>
      <inkml:brushProperty name="color" value="#000099"/>
    </inkml:brush>
  </inkml:definitions>
  <inkml:trace contextRef="#ctx0" brushRef="#br0">214 0 24575,'-5'2'0,"1"-1"0,-1 1 0,1-1 0,-1 1 0,1 1 0,0-1 0,0 1 0,0-1 0,0 1 0,0 0 0,1 0 0,-1 1 0,-4 6 0,-19 14 0,14-15 0,1 1 0,0 1 0,1 0 0,1 0 0,-11 14 0,-17 19 0,37-43 0,0 0 0,1-1 0,-1 1 0,0 0 0,1 0 0,-1 0 0,1 0 0,-1 0 0,1 0 0,0 0 0,-1 0 0,1 0 0,0 0 0,0 0 0,0 0 0,-1 0 0,1 0 0,0 0 0,1 0 0,-1 0 0,0 0 0,0 0 0,0 0 0,0 0 0,1 0 0,-1 0 0,1 0 0,-1 0 0,0 0 0,1 0 0,0 0 0,-1 0 0,1 0 0,0 0 0,-1-1 0,1 1 0,0 0 0,0-1 0,-1 1 0,1 0 0,0-1 0,0 1 0,2 0 0,54 29 0,-32-17 0,61 55 0,-77-62-1365,0-2-5461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7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24575,'10'1'0,"1"0"0,-1 1 0,0 0 0,0 0 0,0 1 0,0 1 0,0 0 0,-1 0 0,12 8 0,-4-3 0,-1 2 0,-1 0 0,0 0 0,17 18 0,-31-28 0,0 0 0,0 0 0,0 0 0,0 0 0,0 1 0,-1-1 0,1 0 0,0 0 0,-1 0 0,1 1 0,-1-1 0,1 0 0,-1 1 0,0-1 0,1 0 0,-1 1 0,0-1 0,0 0 0,0 1 0,0-1 0,0 0 0,0 1 0,0-1 0,-1 1 0,1-1 0,0 0 0,-1 0 0,1 1 0,-1-1 0,0 0 0,1 0 0,-1 1 0,0-1 0,0 0 0,1 0 0,-3 2 0,-5 4 0,1 0 0,-2 0 0,1-1 0,-12 8 0,-14 11 0,22-13-455,0 1 0,-19 28 0,26-32-6371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705"/>
    </inkml:context>
    <inkml:brush xml:id="br0">
      <inkml:brushProperty name="width" value="0.05" units="cm"/>
      <inkml:brushProperty name="height" value="0.05" units="cm"/>
      <inkml:brushProperty name="color" value="#CC9900"/>
    </inkml:brush>
  </inkml:definitions>
  <inkml:trace contextRef="#ctx0" brushRef="#br0">43 0 24575,'8'2'0,"-1"0"0,1 1 0,-1 0 0,1 0 0,-1 0 0,0 1 0,0 0 0,12 9 0,12 6 0,-9-8 0,-12-7 0,-1 0 0,0 1 0,-1 0 0,16 12 0,-23-16 0,-1 0 0,1-1 0,-1 1 0,0 0 0,1 0 0,-1 0 0,0-1 0,1 1 0,-1 0 0,0 0 0,0 0 0,0 0 0,0-1 0,0 1 0,0 0 0,0 0 0,0 0 0,0 0 0,0 0 0,-1-1 0,1 1 0,0 0 0,0 0 0,-1 0 0,1 0 0,-1-1 0,1 1 0,-1 0 0,1-1 0,-1 1 0,1 0 0,-1-1 0,1 1 0,-1-1 0,0 1 0,1 0 0,-1-1 0,0 0 0,0 1 0,-1 0 0,-41 26 0,28-18 0,-105 89-3,73-58-1359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706"/>
    </inkml:context>
    <inkml:brush xml:id="br0">
      <inkml:brushProperty name="width" value="0.05" units="cm"/>
      <inkml:brushProperty name="height" value="0.05" units="cm"/>
      <inkml:brushProperty name="color" value="#000099"/>
    </inkml:brush>
  </inkml:definitions>
  <inkml:trace contextRef="#ctx0" brushRef="#br0">219 0 24575,'-4'2'0,"-1"-1"0,0 1 0,1-1 0,-1 1 0,1 0 0,0 1 0,-1-1 0,1 1 0,0 0 0,1 0 0,-1 0 0,0 0 0,-4 7 0,-20 14 0,15-15 0,1 1 0,0 0 0,0 1 0,1 0 0,-9 14 0,-20 18 0,39-42 0,1 0 0,-1 0 0,0-1 0,1 1 0,-1 0 0,0 0 0,1 0 0,0 0 0,-1 0 0,1 0 0,-1 0 0,1 0 0,0 0 0,0 0 0,0 0 0,0 0 0,-1 0 0,1 0 0,1 0 0,-1 0 0,0 0 0,0 0 0,0 0 0,0 0 0,1 0 0,-1 0 0,1 0 0,-1 0 0,1 0 0,-1 0 0,1 0 0,-1 0 0,1 0 0,0-1 0,-1 1 0,1 0 0,0 0 0,0-1 0,0 1 0,0-1 0,-1 1 0,1-1 0,2 2 0,56 28 0,-34-18 0,64 55 0,-80-61-1365,0-2-5461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707"/>
    </inkml:context>
    <inkml:brush xml:id="br0">
      <inkml:brushProperty name="width" value="0.05" units="cm"/>
      <inkml:brushProperty name="height" value="0.05" units="cm"/>
      <inkml:brushProperty name="color" value="#CC9900"/>
    </inkml:brush>
  </inkml:definitions>
  <inkml:trace contextRef="#ctx0" brushRef="#br0">44 0 24575,'8'2'0,"-1"0"0,2 0 0,-2 1 0,0 0 0,1 1 0,-1 0 0,1 0 0,11 9 0,12 6 0,-7-9 0,-15-6 0,1 1 0,-1-1 0,-1 1 0,17 12 0,-24-16 0,-1-1 0,1 1 0,-1 0 0,0-1 0,1 1 0,-1 0 0,0 0 0,0 0 0,1-1 0,-1 1 0,0 0 0,0 0 0,0 0 0,0-1 0,0 1 0,0 0 0,0 0 0,0 0 0,-1 0 0,1-1 0,0 1 0,0 0 0,-1 0 0,1-1 0,0 2 0,-1-1 0,1 0 0,-1-1 0,1 1 0,-1 0 0,1-1 0,-1 1 0,1-1 0,-1 1 0,0-1 0,1 1 0,-2-1 0,1 1 0,0-1 0,0 1 0,-43 26 0,28-19 0,-106 89-3,73-58-1359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03:51.708"/>
    </inkml:context>
    <inkml:brush xml:id="br0">
      <inkml:brushProperty name="width" value="0.05" units="cm"/>
      <inkml:brushProperty name="height" value="0.05" units="cm"/>
      <inkml:brushProperty name="color" value="#CC9900"/>
    </inkml:brush>
  </inkml:definitions>
  <inkml:trace contextRef="#ctx0" brushRef="#br0">44 0 24575,'8'2'0,"-1"0"0,2 0 0,-2 1 0,0 0 0,1 1 0,-1 0 0,1 0 0,11 9 0,12 6 0,-7-9 0,-15-6 0,1 1 0,-1-1 0,-1 1 0,17 12 0,-24-16 0,-1-1 0,1 1 0,-1 0 0,0-1 0,1 1 0,-1 0 0,0 0 0,0 0 0,1-1 0,-1 1 0,0 0 0,0 0 0,0 0 0,0-1 0,0 1 0,0 0 0,0 0 0,0 0 0,-1 0 0,1-1 0,0 1 0,0 0 0,-1 0 0,1-1 0,0 2 0,-1-1 0,1 0 0,-1-1 0,1 1 0,-1 0 0,1-1 0,-1 1 0,1-1 0,-1 1 0,0-1 0,1 1 0,-2-1 0,1 1 0,0-1 0,0 1 0,-43 26 0,28-19 0,-106 89-3,73-58-1359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32:19.6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24575,'10'1'0,"1"0"0,-1 1 0,0 0 0,0 0 0,0 1 0,0 1 0,0 0 0,-1 0 0,12 8 0,-4-3 0,-1 2 0,-1 0 0,0 0 0,17 18 0,-31-28 0,0 0 0,0 0 0,0 0 0,0 0 0,0 1 0,-1-1 0,1 0 0,0 0 0,-1 0 0,1 1 0,-1-1 0,1 0 0,-1 1 0,0-1 0,1 0 0,-1 1 0,0-1 0,0 0 0,0 1 0,0-1 0,0 0 0,0 1 0,0-1 0,-1 1 0,1-1 0,0 0 0,-1 0 0,1 1 0,-1-1 0,0 0 0,1 0 0,-1 1 0,0-1 0,0 0 0,1 0 0,-3 2 0,-5 4 0,1 0 0,-2 0 0,1-1 0,-12 8 0,-14 11 0,22-13-455,0 1 0,-19 28 0,26-32-6371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08:32:27.2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24575,'10'1'0,"1"0"0,-1 1 0,0 0 0,0 0 0,0 1 0,0 1 0,0 0 0,-1 0 0,12 8 0,-4-3 0,-1 2 0,-1 0 0,0 0 0,17 18 0,-31-28 0,0 0 0,0 0 0,0 0 0,0 0 0,0 1 0,-1-1 0,1 0 0,0 0 0,-1 0 0,1 1 0,-1-1 0,1 0 0,-1 1 0,0-1 0,1 0 0,-1 1 0,0-1 0,0 0 0,0 1 0,0-1 0,0 0 0,0 1 0,0-1 0,-1 1 0,1-1 0,0 0 0,-1 0 0,1 1 0,-1-1 0,0 0 0,1 0 0,-1 1 0,0-1 0,0 0 0,1 0 0,-3 2 0,-5 4 0,1 0 0,-2 0 0,1-1 0,-12 8 0,-14 11 0,22-13-455,0 1 0,-19 28 0,26-32-6371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21T05:52:56.27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26 824 24575,'-25'-52'0,"25"49"0,0 0 0,-1 1 0,2-1 0,-1 1 0,0-1 0,1 1 0,0-1 0,-1 1 0,1 0 0,1-1 0,-1 1 0,0 0 0,1-1 0,0 1 0,-1 0 0,1 0 0,0 0 0,1 0 0,-1 0 0,0 0 0,1 1 0,-1-1 0,1 0 0,0 1 0,0 0 0,0-1 0,0 1 0,0 0 0,0 0 0,0 0 0,4 0 0,13-3 0,-1 1 0,1 0 0,0 1 0,29 0 0,8-2 0,-25 0 0,-12 3 0,1-2 0,-1 0 0,1 0 0,-1-1 0,-1-1 0,1-1 0,30-12 0,-33 11 0,0 0 0,1 1 0,0 1 0,0 0 0,1 0 0,-1 2 0,2 0 0,-1 0 0,0 1 0,1 1 0,-1 0 0,29 2 0,-36-1 0,1 0 0,0-1 0,-1-1 0,1 1 0,-1-2 0,1 1 0,-1-1 0,16-6 0,6-3 0,46-24 0,-49 21 0,0 1 0,34-10 0,-29 13 0,0 1 0,1 1 0,0 1 0,56-6 0,-57 9 0,65-15 0,-15 3 0,35-5 0,197-54 0,-254 59 0,1 3 0,96-13 0,-87 16 0,112-27 0,91-26 0,-32 9 0,-196 42 0,0 2 0,1 1 0,0 2 0,1 2 0,0 2 0,80-1 0,906 8 0,-592-4 0,-419 2 0,-1 1 0,45 8 0,-42-6 0,-1 0 0,33 1 0,108-5-1365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21T05:53:05.186"/>
    </inkml:context>
    <inkml:brush xml:id="br0">
      <inkml:brushProperty name="width" value="0.2" units="cm"/>
      <inkml:brushProperty name="height" value="0.2" units="cm"/>
      <inkml:brushProperty name="color" value="#00A0D7"/>
    </inkml:brush>
  </inkml:definitions>
  <inkml:trace contextRef="#ctx0" brushRef="#br0">5508 1 24575,'0'1'0,"-1"0"0,0 0 0,1 0 0,-1 0 0,0 0 0,0 0 0,0 0 0,0 0 0,0 0 0,0 0 0,0 0 0,0 0 0,-1-1 0,1 1 0,0 0 0,-1-1 0,1 1 0,-1 0 0,1-1 0,-1 0 0,1 1 0,-1-1 0,1 1 0,-1-1 0,0 0 0,1 0 0,-4 0 0,-52 5 0,51-5 0,-70 2 0,36-1 0,0 1 0,-68 9 0,-50 6 0,66-8 0,57-6 0,-294 29 0,304-29 0,0 1 0,0 1 0,1 0 0,0 2 0,0-1 0,-23 11 0,17-6 0,-1-2 0,-1 0 0,-36 6 0,-99 14 0,59-9 0,-173 16 0,242-31 0,0 1 0,1 1 0,0 2 0,-50 15 0,41-10 0,-3 0 0,-252 74 0,34 9 0,47-17 0,49-23 0,-135 49 0,150-45 0,77-33 0,1 3 0,2 3 0,-100 58 0,144-74 0,0-1 0,-2-2 0,-61 22 0,52-21 0,1 1 0,-40 22 0,32-11 0,1 1 0,2 1 0,2 2 0,-60 54 0,68-53 0,-68 46 0,78-59 0,-113 75 0,102-67 0,-42 39 0,-14 11 0,75-65 0,-1-1 0,0 0 0,-25 9 0,-38 21 0,32-14-1365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O18"/>
  <sheetViews>
    <sheetView topLeftCell="A2" zoomScale="160" zoomScaleNormal="160" workbookViewId="0">
      <selection activeCell="AH10" sqref="AH10"/>
    </sheetView>
  </sheetViews>
  <sheetFormatPr defaultColWidth="2.77734375" defaultRowHeight="14.4"/>
  <cols>
    <col min="3" max="3" width="3" bestFit="1" customWidth="1"/>
    <col min="17" max="17" width="3" bestFit="1" customWidth="1"/>
  </cols>
  <sheetData>
    <row r="4" spans="2:41">
      <c r="B4" s="61" t="s">
        <v>8</v>
      </c>
      <c r="C4" s="43"/>
      <c r="D4" s="43"/>
      <c r="E4" s="43"/>
      <c r="F4" s="43"/>
      <c r="G4" s="43"/>
      <c r="H4" s="43"/>
      <c r="I4" s="43"/>
      <c r="J4" s="43"/>
      <c r="K4" s="43"/>
      <c r="L4" s="43" t="s">
        <v>10</v>
      </c>
      <c r="M4" s="43" t="s">
        <v>9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4"/>
    </row>
    <row r="5" spans="2:41">
      <c r="B5" s="46"/>
      <c r="AK5" s="27"/>
    </row>
    <row r="6" spans="2:41" ht="15" thickBot="1">
      <c r="B6" s="46" t="s">
        <v>15</v>
      </c>
      <c r="Q6">
        <v>31</v>
      </c>
      <c r="T6" s="1"/>
      <c r="U6" s="2"/>
      <c r="Z6">
        <v>0</v>
      </c>
      <c r="AD6" s="3"/>
      <c r="AE6" s="4"/>
      <c r="AK6" s="27"/>
    </row>
    <row r="7" spans="2:41" ht="15.6" thickTop="1" thickBot="1">
      <c r="B7" s="46"/>
      <c r="P7" s="5"/>
      <c r="Q7" s="6" t="s">
        <v>1</v>
      </c>
      <c r="R7" s="7"/>
      <c r="S7" s="7"/>
      <c r="T7" s="6"/>
      <c r="U7" s="7"/>
      <c r="V7" s="7"/>
      <c r="W7" s="7"/>
      <c r="X7" s="7"/>
      <c r="Y7" s="7"/>
      <c r="Z7" s="8" t="str">
        <f>IF(K1=1,1,IF(P4=1,0,"X"))</f>
        <v>X</v>
      </c>
      <c r="AA7" s="9"/>
      <c r="AB7" s="9"/>
      <c r="AC7" s="9"/>
      <c r="AD7" s="10"/>
      <c r="AE7" s="47" t="str">
        <f>IF(Z11=1,"&gt;&gt;&gt;","")</f>
        <v>&gt;&gt;&gt;</v>
      </c>
      <c r="AF7" s="11"/>
      <c r="AG7" s="9"/>
      <c r="AH7" s="9"/>
      <c r="AI7" s="9"/>
      <c r="AJ7" s="9"/>
      <c r="AK7" s="27"/>
    </row>
    <row r="8" spans="2:41" ht="15" thickTop="1">
      <c r="B8" s="46"/>
      <c r="O8" s="41"/>
      <c r="Q8" s="48" t="s">
        <v>4</v>
      </c>
      <c r="R8" s="49"/>
      <c r="S8" s="49"/>
      <c r="T8" s="50"/>
      <c r="U8" s="49"/>
      <c r="V8" s="49"/>
      <c r="W8" s="49"/>
      <c r="X8" s="49"/>
      <c r="Y8" s="49"/>
      <c r="Z8" s="49"/>
      <c r="AD8" s="12"/>
      <c r="AF8" s="13"/>
      <c r="AJ8" s="14"/>
      <c r="AK8" s="27"/>
    </row>
    <row r="9" spans="2:41">
      <c r="B9" s="46"/>
      <c r="N9" s="41"/>
      <c r="AD9" s="3"/>
      <c r="AE9" s="15"/>
      <c r="AJ9" s="3"/>
      <c r="AK9" s="27"/>
    </row>
    <row r="10" spans="2:41" ht="15" customHeight="1" thickBot="1">
      <c r="B10" s="46"/>
      <c r="C10">
        <v>31</v>
      </c>
      <c r="L10">
        <v>0</v>
      </c>
      <c r="M10" s="41"/>
      <c r="P10" s="16"/>
      <c r="Q10">
        <v>31</v>
      </c>
      <c r="Z10">
        <v>0</v>
      </c>
      <c r="AE10" s="17"/>
      <c r="AJ10" s="3"/>
      <c r="AK10" s="27"/>
    </row>
    <row r="11" spans="2:41" ht="15.6" customHeight="1" thickTop="1" thickBot="1">
      <c r="B11" s="46"/>
      <c r="C11" s="38"/>
      <c r="D11" s="39"/>
      <c r="E11" s="39"/>
      <c r="F11" s="38"/>
      <c r="G11" s="39"/>
      <c r="H11" s="39"/>
      <c r="I11" s="39"/>
      <c r="J11" s="39"/>
      <c r="K11" s="39"/>
      <c r="L11" s="40"/>
      <c r="P11" s="18"/>
      <c r="Q11" s="19" t="s">
        <v>2</v>
      </c>
      <c r="R11" s="20"/>
      <c r="S11" s="20"/>
      <c r="T11" s="20"/>
      <c r="U11" s="20"/>
      <c r="V11" s="20"/>
      <c r="W11" s="20"/>
      <c r="X11" s="20"/>
      <c r="Y11" s="21"/>
      <c r="Z11" s="22">
        <v>1</v>
      </c>
      <c r="AA11" s="23"/>
      <c r="AB11" s="23"/>
      <c r="AC11" s="23"/>
      <c r="AD11" s="23"/>
      <c r="AE11" s="24"/>
      <c r="AJ11" s="3"/>
      <c r="AK11" s="51"/>
      <c r="AL11" s="16"/>
      <c r="AM11" s="16"/>
      <c r="AO11" s="25" t="s">
        <v>0</v>
      </c>
    </row>
    <row r="12" spans="2:41" ht="15" customHeight="1" thickTop="1">
      <c r="B12" s="46"/>
      <c r="C12" s="52" t="s">
        <v>3</v>
      </c>
      <c r="D12" s="53"/>
      <c r="E12" s="53"/>
      <c r="F12" s="52"/>
      <c r="G12" s="53"/>
      <c r="H12" s="53"/>
      <c r="I12" s="53"/>
      <c r="J12" s="53"/>
      <c r="K12" s="53"/>
      <c r="L12" s="53"/>
      <c r="P12" s="54"/>
      <c r="Q12" s="55" t="s">
        <v>7</v>
      </c>
      <c r="R12" s="56"/>
      <c r="S12" s="56"/>
      <c r="T12" s="56"/>
      <c r="U12" s="56"/>
      <c r="V12" s="56"/>
      <c r="W12" s="56"/>
      <c r="X12" s="56"/>
      <c r="Y12" s="56"/>
      <c r="Z12" s="56"/>
      <c r="AE12" s="1"/>
      <c r="AJ12" s="26"/>
      <c r="AK12" s="27"/>
    </row>
    <row r="13" spans="2:41" ht="15" customHeight="1">
      <c r="B13" s="46"/>
      <c r="C13" s="52" t="s">
        <v>11</v>
      </c>
      <c r="D13" s="53"/>
      <c r="E13" s="53"/>
      <c r="F13" s="52"/>
      <c r="G13" s="53"/>
      <c r="H13" s="53"/>
      <c r="I13" s="53"/>
      <c r="J13" s="53"/>
      <c r="K13" s="53"/>
      <c r="L13" s="53"/>
      <c r="M13" s="42"/>
      <c r="Q13" s="55" t="s">
        <v>12</v>
      </c>
      <c r="R13" s="56"/>
      <c r="S13" s="56"/>
      <c r="T13" s="56"/>
      <c r="U13" s="56"/>
      <c r="V13" s="56"/>
      <c r="W13" s="56"/>
      <c r="X13" s="56"/>
      <c r="Y13" s="56"/>
      <c r="Z13" s="56"/>
      <c r="AJ13" s="26"/>
      <c r="AK13" s="27"/>
    </row>
    <row r="14" spans="2:41" ht="15" thickBot="1">
      <c r="B14" s="46"/>
      <c r="N14" s="42"/>
      <c r="Q14">
        <v>31</v>
      </c>
      <c r="Z14">
        <v>0</v>
      </c>
      <c r="AE14" s="27"/>
      <c r="AF14" s="28"/>
      <c r="AJ14" s="26"/>
      <c r="AK14" s="27"/>
    </row>
    <row r="15" spans="2:41" ht="15.6" thickTop="1" thickBot="1">
      <c r="B15" s="46"/>
      <c r="O15" s="42"/>
      <c r="P15" s="5"/>
      <c r="Q15" s="29" t="s">
        <v>6</v>
      </c>
      <c r="R15" s="30"/>
      <c r="S15" s="30"/>
      <c r="T15" s="29"/>
      <c r="U15" s="30"/>
      <c r="V15" s="30"/>
      <c r="W15" s="30"/>
      <c r="X15" s="30"/>
      <c r="Y15" s="30"/>
      <c r="Z15" s="31" t="str">
        <f>IF(Z11=0,#REF!,"")</f>
        <v/>
      </c>
      <c r="AA15" s="32"/>
      <c r="AB15" s="32"/>
      <c r="AC15" s="32"/>
      <c r="AD15" s="32"/>
      <c r="AE15" s="33"/>
      <c r="AF15" s="26"/>
      <c r="AG15" s="32"/>
      <c r="AH15" s="32"/>
      <c r="AI15" s="32"/>
      <c r="AJ15" s="34"/>
      <c r="AK15" s="27"/>
    </row>
    <row r="16" spans="2:41">
      <c r="B16" s="46"/>
      <c r="Q16" s="48" t="s">
        <v>5</v>
      </c>
      <c r="R16" s="49"/>
      <c r="S16" s="49"/>
      <c r="T16" s="50"/>
      <c r="U16" s="49"/>
      <c r="V16" s="49"/>
      <c r="W16" s="49"/>
      <c r="X16" s="49"/>
      <c r="Y16" s="49"/>
      <c r="Z16" s="49"/>
      <c r="AE16" s="35"/>
      <c r="AF16" s="36" t="str">
        <f>IF(Z11=0,"&lt;&lt;&lt;","")</f>
        <v/>
      </c>
      <c r="AK16" s="27"/>
    </row>
    <row r="17" spans="2:37">
      <c r="B17" s="45" t="s">
        <v>16</v>
      </c>
      <c r="Q17" s="57"/>
      <c r="AF17" s="37"/>
      <c r="AK17" s="27"/>
    </row>
    <row r="18" spans="2:37">
      <c r="B18" s="58"/>
      <c r="C18" s="62" t="s">
        <v>13</v>
      </c>
      <c r="D18" s="53"/>
      <c r="E18" s="53"/>
      <c r="F18" s="5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9"/>
      <c r="T18" s="63" t="s">
        <v>14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K18" s="6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CB8E-8A37-48F8-AF17-EF837193EE59}">
  <dimension ref="A1"/>
  <sheetViews>
    <sheetView showGridLines="0" tabSelected="1" zoomScaleNormal="100" workbookViewId="0">
      <selection activeCell="H23" sqref="H23"/>
    </sheetView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48A-2378-4E91-8413-C6C5E438A215}">
  <dimension ref="A1"/>
  <sheetViews>
    <sheetView topLeftCell="A69" zoomScaleNormal="100" workbookViewId="0">
      <selection activeCell="BD6" sqref="C6:BD39"/>
    </sheetView>
  </sheetViews>
  <sheetFormatPr defaultColWidth="2.77734375"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56A6-90BD-40C6-A676-6048191FCA79}">
  <dimension ref="A1"/>
  <sheetViews>
    <sheetView showGridLines="0" zoomScale="70" zoomScaleNormal="70" workbookViewId="0">
      <selection activeCell="C2" sqref="C2:AZ33"/>
    </sheetView>
  </sheetViews>
  <sheetFormatPr defaultColWidth="2.5546875" defaultRowHeight="14.4"/>
  <sheetData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68DB-870D-4233-B871-A8BC2088FA29}">
  <dimension ref="B2:AL19"/>
  <sheetViews>
    <sheetView showGridLines="0" zoomScale="130" zoomScaleNormal="130" workbookViewId="0">
      <selection activeCell="H12" sqref="H12"/>
    </sheetView>
  </sheetViews>
  <sheetFormatPr defaultColWidth="2.77734375" defaultRowHeight="14.4"/>
  <sheetData>
    <row r="2" spans="2:38">
      <c r="B2" s="65" t="s">
        <v>29</v>
      </c>
      <c r="C2" s="66"/>
      <c r="D2" s="66"/>
      <c r="E2" s="67"/>
      <c r="J2" s="61" t="s">
        <v>18</v>
      </c>
      <c r="K2" s="43"/>
      <c r="L2" s="43"/>
      <c r="M2" s="64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4"/>
    </row>
    <row r="3" spans="2:38">
      <c r="B3" s="68"/>
      <c r="C3" s="69" t="s">
        <v>20</v>
      </c>
      <c r="D3" s="70"/>
      <c r="E3" s="71"/>
      <c r="J3" s="46"/>
      <c r="X3" s="65" t="s">
        <v>20</v>
      </c>
      <c r="Y3" s="66"/>
      <c r="Z3" s="66"/>
      <c r="AA3" s="66"/>
      <c r="AB3" s="66"/>
      <c r="AC3" s="66"/>
      <c r="AD3" s="66"/>
      <c r="AE3" s="66"/>
      <c r="AF3" s="66" t="s">
        <v>28</v>
      </c>
      <c r="AG3" s="66"/>
      <c r="AH3" s="66"/>
      <c r="AI3" s="66"/>
      <c r="AJ3" s="66"/>
      <c r="AK3" s="67"/>
      <c r="AL3" s="27"/>
    </row>
    <row r="4" spans="2:38">
      <c r="B4" s="72"/>
      <c r="C4" s="73"/>
      <c r="D4" s="74"/>
      <c r="E4" s="75"/>
      <c r="J4" s="46"/>
      <c r="X4" s="68"/>
      <c r="Y4" s="69" t="s">
        <v>23</v>
      </c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1"/>
      <c r="AL4" s="27"/>
    </row>
    <row r="5" spans="2:38">
      <c r="J5" s="46"/>
      <c r="X5" s="72"/>
      <c r="Y5" s="73" t="s">
        <v>24</v>
      </c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5"/>
      <c r="AL5" s="27"/>
    </row>
    <row r="6" spans="2:38">
      <c r="J6" s="46"/>
      <c r="AL6" s="27"/>
    </row>
    <row r="7" spans="2:38">
      <c r="J7" s="46"/>
      <c r="AL7" s="27"/>
    </row>
    <row r="8" spans="2:38">
      <c r="J8" s="46"/>
      <c r="X8" s="76" t="s">
        <v>19</v>
      </c>
      <c r="Y8" s="77"/>
      <c r="Z8" s="77"/>
      <c r="AA8" s="77"/>
      <c r="AB8" s="77"/>
      <c r="AC8" s="77"/>
      <c r="AD8" s="77" t="s">
        <v>27</v>
      </c>
      <c r="AE8" s="77"/>
      <c r="AF8" s="77"/>
      <c r="AG8" s="77"/>
      <c r="AH8" s="77"/>
      <c r="AI8" s="77"/>
      <c r="AJ8" s="77"/>
      <c r="AK8" s="78"/>
      <c r="AL8" s="27"/>
    </row>
    <row r="9" spans="2:38">
      <c r="B9" s="95" t="s">
        <v>17</v>
      </c>
      <c r="C9" s="96"/>
      <c r="D9" s="96"/>
      <c r="E9" s="96"/>
      <c r="F9" s="97"/>
      <c r="J9" s="46"/>
      <c r="X9" s="79"/>
      <c r="Y9" s="80" t="s">
        <v>25</v>
      </c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2"/>
      <c r="AL9" s="27"/>
    </row>
    <row r="10" spans="2:38">
      <c r="B10" s="89"/>
      <c r="C10" s="90"/>
      <c r="D10" s="90"/>
      <c r="E10" s="90"/>
      <c r="F10" s="91"/>
      <c r="J10" s="46"/>
      <c r="X10" s="79"/>
      <c r="Y10" s="80" t="s">
        <v>21</v>
      </c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2"/>
      <c r="AL10" s="27"/>
    </row>
    <row r="11" spans="2:38">
      <c r="B11" s="89"/>
      <c r="C11" s="90"/>
      <c r="D11" s="98" t="s">
        <v>20</v>
      </c>
      <c r="E11" s="99"/>
      <c r="F11" s="100"/>
      <c r="J11" s="46"/>
      <c r="X11" s="83"/>
      <c r="Y11" s="84" t="s">
        <v>22</v>
      </c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  <c r="AL11" s="27"/>
    </row>
    <row r="12" spans="2:38">
      <c r="B12" s="92"/>
      <c r="C12" s="93"/>
      <c r="D12" s="93"/>
      <c r="E12" s="93"/>
      <c r="F12" s="94"/>
      <c r="J12" s="46"/>
      <c r="AL12" s="27"/>
    </row>
    <row r="13" spans="2:38">
      <c r="J13" s="46"/>
      <c r="X13" s="88" t="s">
        <v>26</v>
      </c>
      <c r="AL13" s="27"/>
    </row>
    <row r="14" spans="2:38">
      <c r="J14" s="46"/>
      <c r="AL14" s="27"/>
    </row>
    <row r="15" spans="2:38">
      <c r="J15" s="58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0"/>
    </row>
    <row r="19" spans="26:26">
      <c r="Z19" s="87"/>
    </row>
  </sheetData>
  <pageMargins left="0.7" right="0.7" top="0.75" bottom="0.75" header="0.3" footer="0.3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GPIO</vt:lpstr>
      <vt:lpstr>laptop-board</vt:lpstr>
      <vt:lpstr>Board</vt:lpstr>
      <vt:lpstr>SNN_LIF</vt:lpstr>
      <vt:lpstr>bits - hwh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Tiến</dc:creator>
  <cp:lastModifiedBy>Tien Nguyen Duc</cp:lastModifiedBy>
  <dcterms:created xsi:type="dcterms:W3CDTF">2015-06-05T18:17:20Z</dcterms:created>
  <dcterms:modified xsi:type="dcterms:W3CDTF">2026-10-21T05:54:36Z</dcterms:modified>
</cp:coreProperties>
</file>